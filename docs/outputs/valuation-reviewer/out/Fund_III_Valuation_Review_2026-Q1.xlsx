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 Bridge" sheetId="1" state="visible" r:id="rId1"/>
    <sheet xmlns:r="http://schemas.openxmlformats.org/officeDocument/2006/relationships" name="Valuation Review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Pref Recompute" sheetId="4" state="visible" r:id="rId4"/>
    <sheet xmlns:r="http://schemas.openxmlformats.org/officeDocument/2006/relationships" name="Waterf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00&quot;x&quot;"/>
    <numFmt numFmtId="166" formatCode="yyyy-mm-dd"/>
  </numFmts>
  <fonts count="17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b val="1"/>
      <color rgb="00FFFFFF"/>
      <sz val="9"/>
    </font>
    <font>
      <name val="Microsoft JhengHei"/>
      <b val="1"/>
      <color rgb="00000000"/>
      <sz val="9"/>
    </font>
    <font>
      <name val="Microsoft JhengHei"/>
      <color rgb="000000FF"/>
      <sz val="9"/>
    </font>
    <font>
      <name val="Microsoft JhengHei"/>
      <color rgb="00000000"/>
      <sz val="9"/>
    </font>
    <font>
      <name val="Microsoft JhengHei"/>
      <color rgb="00000000"/>
      <sz val="8"/>
    </font>
    <font>
      <name val="Microsoft JhengHei"/>
      <b val="1"/>
      <color rgb="00000000"/>
      <sz val="8"/>
    </font>
    <font>
      <name val="Microsoft JhengHei"/>
      <b val="1"/>
      <color rgb="000000FF"/>
      <sz val="9"/>
    </font>
    <font>
      <name val="Microsoft JhengHei"/>
      <b val="1"/>
      <color rgb="00000000"/>
      <sz val="10"/>
    </font>
    <font>
      <name val="Microsoft JhengHei"/>
      <b val="1"/>
      <color rgb="00FFFFFF"/>
      <sz val="12"/>
    </font>
    <font>
      <name val="Microsoft JhengHei"/>
      <color rgb="00000000"/>
      <sz val="10"/>
    </font>
    <font>
      <name val="Microsoft JhengHei"/>
      <color rgb="00008000"/>
      <sz val="10"/>
    </font>
    <font>
      <name val="Microsoft JhengHei"/>
      <color rgb="000000FF"/>
      <sz val="10"/>
    </font>
    <font>
      <name val="Microsoft JhengHei"/>
      <color rgb="00008000"/>
      <sz val="9"/>
    </font>
    <font>
      <name val="Microsoft JhengHei"/>
      <b val="1"/>
      <color rgb="00FFFFFF"/>
      <sz val="11"/>
    </font>
    <font>
      <name val="Microsoft JhengHe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9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 style="thin">
        <color rgb="009BAFC4"/>
      </left>
      <right/>
      <top/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 style="thin">
        <color rgb="009BAFC4"/>
      </right>
      <top/>
      <bottom/>
      <diagonal/>
    </border>
    <border>
      <left style="thin">
        <color rgb="009BAFC4"/>
      </left>
      <right/>
      <top/>
      <bottom style="thin">
        <color rgb="009BAFC4"/>
      </bottom>
      <diagonal/>
    </border>
    <border>
      <left/>
      <right/>
      <top/>
      <bottom style="thin">
        <color rgb="009BAFC4"/>
      </bottom>
      <diagonal/>
    </border>
    <border>
      <left/>
      <right style="thin">
        <color rgb="009BAFC4"/>
      </right>
      <top/>
      <bottom style="thin">
        <color rgb="009BAFC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4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10" fontId="9" fillId="6" borderId="1" applyAlignment="1" pivotButton="0" quotePrefix="0" xfId="0">
      <alignment horizontal="right" vertical="center"/>
    </xf>
    <xf numFmtId="1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left" vertical="center" wrapText="1"/>
    </xf>
    <xf numFmtId="164" fontId="16" fillId="6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left" vertical="center" wrapText="1"/>
    </xf>
    <xf numFmtId="164" fontId="16" fillId="5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valuation-reviewer</author>
  </authors>
  <commentList>
    <comment ref="E16" authorId="0" shapeId="0">
      <text>
        <t>fund_terms Section C 提供值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</cols>
  <sheetData>
    <row r="1">
      <c r="A1" s="1" t="inlineStr">
        <is>
          <t>NAV 橋接 NAV Bridge · 2026-Q1</t>
        </is>
      </c>
    </row>
    <row r="3">
      <c r="B3" s="2" t="inlineStr">
        <is>
          <t>投資組合FV（GP報告）</t>
        </is>
      </c>
      <c r="C3" s="3">
        <f>'Valuation Review'!D9</f>
        <v/>
      </c>
    </row>
    <row r="4">
      <c r="B4" s="2" t="inlineStr">
        <is>
          <t>現金 Cash</t>
        </is>
      </c>
      <c r="C4" s="4" t="n">
        <v>20000000</v>
      </c>
    </row>
    <row r="5">
      <c r="B5" s="2" t="inlineStr">
        <is>
          <t>其他資產 Other Assets</t>
        </is>
      </c>
      <c r="C5" s="4" t="n">
        <v>5000000</v>
      </c>
    </row>
    <row r="6">
      <c r="B6" s="2" t="inlineStr">
        <is>
          <t>應付費用 Accrued Liabilities</t>
        </is>
      </c>
      <c r="C6" s="4" t="n">
        <v>-5000000</v>
      </c>
    </row>
    <row r="7">
      <c r="B7" s="5" t="inlineStr">
        <is>
          <t>＝ NAV（as-reported）</t>
        </is>
      </c>
      <c r="C7" s="6">
        <f>C3+C4+C5+C6</f>
        <v/>
      </c>
    </row>
    <row r="8">
      <c r="B8" s="2" t="inlineStr">
        <is>
          <t>減：Nova 不符政策上調（P2/P3）</t>
        </is>
      </c>
      <c r="C8" s="3">
        <f>'Valuation Review'!H6</f>
        <v/>
      </c>
    </row>
    <row r="9">
      <c r="B9" s="2" t="inlineStr">
        <is>
          <t>Zephyr stale（流程flag,未調金額）</t>
        </is>
      </c>
      <c r="C9" s="4" t="n">
        <v>0</v>
      </c>
    </row>
    <row r="10">
      <c r="B10" s="5" t="inlineStr">
        <is>
          <t>＝ NAV（policy-adjusted）</t>
        </is>
      </c>
      <c r="C10" s="7">
        <f>C7+C8+C9</f>
        <v/>
      </c>
    </row>
    <row r="13">
      <c r="B13" s="8" t="inlineStr">
        <is>
          <t>檢查：調整後投組 305M</t>
        </is>
      </c>
      <c r="C13" s="9">
        <f>'Valuation Review'!I9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0" customWidth="1" min="5" max="5"/>
    <col width="26" customWidth="1" min="6" max="6"/>
    <col width="11" customWidth="1" min="7" max="7"/>
    <col width="13" customWidth="1" min="8" max="8"/>
    <col width="13" customWidth="1" min="9" max="9"/>
    <col width="28" customWidth="1" min="10" max="10"/>
  </cols>
  <sheetData>
    <row r="1" ht="24" customHeight="1">
      <c r="A1" s="10" t="inlineStr">
        <is>
          <t>GP 估值複核 Valuation Review（對照政策 P1–P4）· Aurora Growth Fund III · 2026-Q1</t>
        </is>
      </c>
    </row>
    <row r="3">
      <c r="A3" s="11" t="inlineStr">
        <is>
          <t>被投資公司</t>
        </is>
      </c>
      <c r="B3" s="12" t="inlineStr">
        <is>
          <t>成本</t>
        </is>
      </c>
      <c r="C3" s="12" t="inlineStr">
        <is>
          <t>上季FV</t>
        </is>
      </c>
      <c r="D3" s="12" t="inlineStr">
        <is>
          <t>GP報告FV</t>
        </is>
      </c>
      <c r="E3" s="12" t="inlineStr">
        <is>
          <t>方法</t>
        </is>
      </c>
      <c r="F3" s="12" t="inlineStr">
        <is>
          <t>政策檢核(P1–P4)</t>
        </is>
      </c>
      <c r="G3" s="12" t="inlineStr">
        <is>
          <t>判定</t>
        </is>
      </c>
      <c r="H3" s="12" t="inlineStr">
        <is>
          <t>政策調整</t>
        </is>
      </c>
      <c r="I3" s="12" t="inlineStr">
        <is>
          <t>調整後FV</t>
        </is>
      </c>
    </row>
    <row r="4">
      <c r="A4" s="13" t="inlineStr">
        <is>
          <t>Helios Software</t>
        </is>
      </c>
      <c r="B4" s="14" t="n">
        <v>60000000</v>
      </c>
      <c r="C4" s="14" t="n">
        <v>90000000</v>
      </c>
      <c r="D4" s="14" t="n">
        <v>120000000</v>
      </c>
      <c r="E4" s="15" t="inlineStr">
        <is>
          <t>可比公司</t>
        </is>
      </c>
      <c r="F4" s="16" t="inlineStr">
        <is>
          <t>P2✓；P3待委員會核准文件</t>
        </is>
      </c>
      <c r="G4" s="17" t="inlineStr">
        <is>
          <t>有條件放行</t>
        </is>
      </c>
      <c r="H4" s="18" t="n"/>
      <c r="I4" s="19">
        <f>D4+N(H4)</f>
        <v/>
      </c>
      <c r="J4" s="20" t="inlineStr">
        <is>
          <t>P3：確認是否高於2025-09輪價</t>
        </is>
      </c>
    </row>
    <row r="5">
      <c r="A5" s="13" t="inlineStr">
        <is>
          <t>Orion Logistics</t>
        </is>
      </c>
      <c r="B5" s="14" t="n">
        <v>50000000</v>
      </c>
      <c r="C5" s="14" t="n">
        <v>55000000</v>
      </c>
      <c r="D5" s="14" t="n">
        <v>55000000</v>
      </c>
      <c r="E5" s="15" t="inlineStr">
        <is>
          <t>近期交易</t>
        </is>
      </c>
      <c r="F5" s="16" t="inlineStr">
        <is>
          <t>P1本季已複核✓</t>
        </is>
      </c>
      <c r="G5" s="17" t="inlineStr">
        <is>
          <t>放行</t>
        </is>
      </c>
      <c r="H5" s="18" t="n"/>
      <c r="I5" s="19">
        <f>D5+N(H5)</f>
        <v/>
      </c>
      <c r="J5" s="20" t="inlineStr">
        <is>
          <t>輪價漸老化(&gt;9月)</t>
        </is>
      </c>
    </row>
    <row r="6">
      <c r="A6" s="13" t="inlineStr">
        <is>
          <t>Nova Biotech</t>
        </is>
      </c>
      <c r="B6" s="14" t="n">
        <v>40000000</v>
      </c>
      <c r="C6" s="14" t="n">
        <v>40000000</v>
      </c>
      <c r="D6" s="14" t="n">
        <v>65000000</v>
      </c>
      <c r="E6" s="15" t="inlineStr">
        <is>
          <t>管理層估計</t>
        </is>
      </c>
      <c r="F6" s="21" t="inlineStr">
        <is>
          <t>❌P2無方法/無觸發；❌P3無核准</t>
        </is>
      </c>
      <c r="G6" s="22" t="inlineStr">
        <is>
          <t>駁回上調</t>
        </is>
      </c>
      <c r="H6" s="23" t="n">
        <v>-25000000</v>
      </c>
      <c r="I6" s="19">
        <f>D6+N(H6)</f>
        <v/>
      </c>
      <c r="J6" s="20" t="inlineStr">
        <is>
          <t>撤回+25M至prior/cost 40M</t>
        </is>
      </c>
    </row>
    <row r="7">
      <c r="A7" s="13" t="inlineStr">
        <is>
          <t>Titan Manufacturing</t>
        </is>
      </c>
      <c r="B7" s="14" t="n">
        <v>70000000</v>
      </c>
      <c r="C7" s="14" t="n">
        <v>60000000</v>
      </c>
      <c r="D7" s="14" t="n">
        <v>60000000</v>
      </c>
      <c r="E7" s="15" t="inlineStr">
        <is>
          <t>DCF</t>
        </is>
      </c>
      <c r="F7" s="16" t="inlineStr">
        <is>
          <t>P1✓ P2✓(下修,附DCF)</t>
        </is>
      </c>
      <c r="G7" s="17" t="inlineStr">
        <is>
          <t>放行</t>
        </is>
      </c>
      <c r="H7" s="18" t="n"/>
      <c r="I7" s="19">
        <f>D7+N(H7)</f>
        <v/>
      </c>
      <c r="J7" s="20" t="inlineStr">
        <is>
          <t>已減損至成本以下</t>
        </is>
      </c>
    </row>
    <row r="8">
      <c r="A8" s="13" t="inlineStr">
        <is>
          <t>Zephyr Retail</t>
        </is>
      </c>
      <c r="B8" s="14" t="n">
        <v>30000000</v>
      </c>
      <c r="C8" s="14" t="n">
        <v>30000000</v>
      </c>
      <c r="D8" s="14" t="n">
        <v>30000000</v>
      </c>
      <c r="E8" s="15" t="inlineStr">
        <is>
          <t>成本法</t>
        </is>
      </c>
      <c r="F8" s="21" t="inlineStr">
        <is>
          <t>❌P1：4季未複核(stale)</t>
        </is>
      </c>
      <c r="G8" s="22" t="inlineStr">
        <is>
          <t>需重新複核</t>
        </is>
      </c>
      <c r="H8" s="18" t="n"/>
      <c r="I8" s="19">
        <f>D8+N(H8)</f>
        <v/>
      </c>
      <c r="J8" s="20" t="inlineStr">
        <is>
          <t>流程flag；值未驗證</t>
        </is>
      </c>
    </row>
    <row r="9">
      <c r="A9" s="5" t="inlineStr">
        <is>
          <t>合計 Total</t>
        </is>
      </c>
      <c r="B9" s="6">
        <f>SUM(B4:B8)</f>
        <v/>
      </c>
      <c r="C9" s="6">
        <f>SUM(C4:C8)</f>
        <v/>
      </c>
      <c r="D9" s="6">
        <f>SUM(D4:D8)</f>
        <v/>
      </c>
      <c r="H9" s="6">
        <f>SUM(H4:H8)</f>
        <v/>
      </c>
      <c r="I9" s="6">
        <f>SUM(I4:I8)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報酬指標 Return Metrics</t>
        </is>
      </c>
    </row>
    <row r="3">
      <c r="A3" s="11" t="inlineStr">
        <is>
          <t>項目</t>
        </is>
      </c>
      <c r="C3" s="12" t="inlineStr">
        <is>
          <t>Reported</t>
        </is>
      </c>
      <c r="D3" s="12" t="inlineStr">
        <is>
          <t>Adjusted</t>
        </is>
      </c>
    </row>
    <row r="4">
      <c r="A4" s="2" t="inlineStr">
        <is>
          <t>累計出資 Contributed</t>
        </is>
      </c>
      <c r="C4" s="4" t="n">
        <v>300000000</v>
      </c>
      <c r="D4" s="24">
        <f>C4</f>
        <v/>
      </c>
    </row>
    <row r="5">
      <c r="A5" s="2" t="inlineStr">
        <is>
          <t>累計分配 Distributions</t>
        </is>
      </c>
      <c r="C5" s="4" t="n">
        <v>40000000</v>
      </c>
      <c r="D5" s="24">
        <f>C5</f>
        <v/>
      </c>
    </row>
    <row r="6">
      <c r="A6" s="2" t="inlineStr">
        <is>
          <t>NAV</t>
        </is>
      </c>
      <c r="C6" s="3">
        <f>'NAV Bridge'!C7</f>
        <v/>
      </c>
      <c r="D6" s="3">
        <f>'NAV Bridge'!C11</f>
        <v/>
      </c>
    </row>
    <row r="7">
      <c r="A7" s="5" t="inlineStr">
        <is>
          <t>TVPI</t>
        </is>
      </c>
      <c r="C7" s="25">
        <f>(C5+C6)/C4</f>
        <v/>
      </c>
      <c r="D7" s="25">
        <f>(D5+D6)/D4</f>
        <v/>
      </c>
    </row>
    <row r="8">
      <c r="A8" s="2" t="inlineStr">
        <is>
          <t>DPI</t>
        </is>
      </c>
      <c r="C8" s="26">
        <f>C5/C4</f>
        <v/>
      </c>
      <c r="D8" s="26">
        <f>D5/D4</f>
        <v/>
      </c>
    </row>
    <row r="9">
      <c r="A9" s="2" t="inlineStr">
        <is>
          <t>RVPI</t>
        </is>
      </c>
      <c r="C9" s="26">
        <f>C6/C4</f>
        <v/>
      </c>
      <c r="D9" s="26">
        <f>D6/D4</f>
        <v/>
      </c>
    </row>
    <row r="11">
      <c r="A11" s="27" t="inlineStr">
        <is>
          <t>現金流 (XIRR)</t>
        </is>
      </c>
      <c r="B11" s="28" t="n"/>
      <c r="C11" s="28" t="n"/>
      <c r="D11" s="28" t="n"/>
    </row>
    <row r="12">
      <c r="A12" s="12" t="inlineStr">
        <is>
          <t>日期</t>
        </is>
      </c>
      <c r="B12" s="11" t="inlineStr">
        <is>
          <t>事件</t>
        </is>
      </c>
      <c r="C12" s="12" t="inlineStr">
        <is>
          <t>Reported</t>
        </is>
      </c>
      <c r="D12" s="12" t="inlineStr">
        <is>
          <t>Adjusted</t>
        </is>
      </c>
    </row>
    <row r="13">
      <c r="A13" s="29" t="n">
        <v>44742</v>
      </c>
      <c r="B13" s="8" t="inlineStr">
        <is>
          <t>出資</t>
        </is>
      </c>
      <c r="C13" s="14" t="n">
        <v>-100000000</v>
      </c>
      <c r="D13" s="14" t="n">
        <v>-100000000</v>
      </c>
    </row>
    <row r="14">
      <c r="A14" s="29" t="n">
        <v>45107</v>
      </c>
      <c r="B14" s="8" t="inlineStr">
        <is>
          <t>出資</t>
        </is>
      </c>
      <c r="C14" s="14" t="n">
        <v>-100000000</v>
      </c>
      <c r="D14" s="14" t="n">
        <v>-100000000</v>
      </c>
    </row>
    <row r="15">
      <c r="A15" s="29" t="n">
        <v>45473</v>
      </c>
      <c r="B15" s="8" t="inlineStr">
        <is>
          <t>出資</t>
        </is>
      </c>
      <c r="C15" s="14" t="n">
        <v>-100000000</v>
      </c>
      <c r="D15" s="14" t="n">
        <v>-100000000</v>
      </c>
    </row>
    <row r="16">
      <c r="A16" s="29" t="n">
        <v>45838</v>
      </c>
      <c r="B16" s="8" t="inlineStr">
        <is>
          <t>分配</t>
        </is>
      </c>
      <c r="C16" s="14" t="n">
        <v>40000000</v>
      </c>
      <c r="D16" s="14" t="n">
        <v>40000000</v>
      </c>
    </row>
    <row r="17">
      <c r="A17" s="29" t="n">
        <v>46112</v>
      </c>
      <c r="B17" s="8" t="inlineStr">
        <is>
          <t>期末NAV</t>
        </is>
      </c>
      <c r="C17" s="9">
        <f>C6</f>
        <v/>
      </c>
      <c r="D17" s="9">
        <f>D6</f>
        <v/>
      </c>
    </row>
    <row r="19">
      <c r="A19" s="30" t="inlineStr">
        <is>
          <t>Net IRR (XIRR)</t>
        </is>
      </c>
      <c r="C19" s="31">
        <f>XIRR(C13:C17,A13:A17)</f>
        <v/>
      </c>
      <c r="D19" s="31">
        <f>XIRR(D13:D17,A13:A17)</f>
        <v/>
      </c>
    </row>
    <row r="20">
      <c r="A20" s="8" t="inlineStr">
        <is>
          <t>vs 8% hurdle</t>
        </is>
      </c>
      <c r="D20" s="22">
        <f>IF(D19&lt;0.08,"❌ 低於hurdle","✓")</f>
        <v/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優先報酬獨立重算 Preferred Return Recompute（8% 複利）</t>
        </is>
      </c>
    </row>
    <row r="3">
      <c r="A3" s="2" t="inlineStr">
        <is>
          <t>利率 Rate</t>
        </is>
      </c>
      <c r="B3" s="32" t="n">
        <v>0.08</v>
      </c>
    </row>
    <row r="4">
      <c r="A4" s="2" t="inlineStr">
        <is>
          <t>估值日 As-of</t>
        </is>
      </c>
      <c r="B4" s="33" t="n">
        <v>46112</v>
      </c>
    </row>
    <row r="6">
      <c r="A6" s="11" t="inlineStr">
        <is>
          <t>現金流</t>
        </is>
      </c>
      <c r="B6" s="12" t="inlineStr">
        <is>
          <t>日期</t>
        </is>
      </c>
      <c r="C6" s="12" t="inlineStr">
        <is>
          <t>金額</t>
        </is>
      </c>
      <c r="D6" s="12" t="inlineStr">
        <is>
          <t>年數t</t>
        </is>
      </c>
      <c r="E6" s="12" t="inlineStr">
        <is>
          <t>FV@8%</t>
        </is>
      </c>
    </row>
    <row r="7">
      <c r="A7" s="8" t="inlineStr">
        <is>
          <t>出資1</t>
        </is>
      </c>
      <c r="B7" s="29" t="n">
        <v>44742</v>
      </c>
      <c r="C7" s="14" t="n">
        <v>100000000</v>
      </c>
      <c r="D7" s="34">
        <f>YEARFRAC(B7,$B$4)</f>
        <v/>
      </c>
      <c r="E7" s="18">
        <f>C7*(1+$B$3)^D7</f>
        <v/>
      </c>
    </row>
    <row r="8">
      <c r="A8" s="8" t="inlineStr">
        <is>
          <t>出資2</t>
        </is>
      </c>
      <c r="B8" s="29" t="n">
        <v>45107</v>
      </c>
      <c r="C8" s="14" t="n">
        <v>100000000</v>
      </c>
      <c r="D8" s="34">
        <f>YEARFRAC(B8,$B$4)</f>
        <v/>
      </c>
      <c r="E8" s="18">
        <f>C8*(1+$B$3)^D8</f>
        <v/>
      </c>
    </row>
    <row r="9">
      <c r="A9" s="8" t="inlineStr">
        <is>
          <t>出資3</t>
        </is>
      </c>
      <c r="B9" s="29" t="n">
        <v>45473</v>
      </c>
      <c r="C9" s="14" t="n">
        <v>100000000</v>
      </c>
      <c r="D9" s="34">
        <f>YEARFRAC(B9,$B$4)</f>
        <v/>
      </c>
      <c r="E9" s="18">
        <f>C9*(1+$B$3)^D9</f>
        <v/>
      </c>
    </row>
    <row r="10">
      <c r="A10" s="8" t="inlineStr">
        <is>
          <t>分配</t>
        </is>
      </c>
      <c r="B10" s="29" t="n">
        <v>45838</v>
      </c>
      <c r="C10" s="14" t="n">
        <v>-40000000</v>
      </c>
      <c r="D10" s="34">
        <f>YEARFRAC(B10,$B$4)</f>
        <v/>
      </c>
      <c r="E10" s="18">
        <f>C10*(1+$B$3)^D10</f>
        <v/>
      </c>
    </row>
    <row r="12">
      <c r="A12" s="2" t="inlineStr">
        <is>
          <t>FV 出資合計</t>
        </is>
      </c>
      <c r="E12" s="24">
        <f>SUM(E7:E9)</f>
        <v/>
      </c>
    </row>
    <row r="13">
      <c r="A13" s="2" t="inlineStr">
        <is>
          <t>FV 分配</t>
        </is>
      </c>
      <c r="E13" s="24">
        <f>E10</f>
        <v/>
      </c>
    </row>
    <row r="14">
      <c r="A14" s="2" t="inlineStr">
        <is>
          <t>淨出資（300−40）</t>
        </is>
      </c>
      <c r="E14" s="4" t="n">
        <v>260000000</v>
      </c>
    </row>
    <row r="15">
      <c r="A15" s="30" t="inlineStr">
        <is>
          <t>＝ 獨立重算優先報酬</t>
        </is>
      </c>
      <c r="E15" s="7">
        <f>E12+E13-E14</f>
        <v/>
      </c>
    </row>
    <row r="16">
      <c r="A16" s="2" t="inlineStr">
        <is>
          <t>GP 包提供之 pref</t>
        </is>
      </c>
      <c r="E16" s="4" t="n">
        <v>35000000</v>
      </c>
    </row>
    <row r="17">
      <c r="A17" s="35" t="inlineStr">
        <is>
          <t>差異（重算 − 提供）</t>
        </is>
      </c>
      <c r="E17" s="36">
        <f>E15-E16</f>
        <v/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收益分配 Waterfall（歐式/whole-fund；8% pref、100% catch-up、20% carry）</t>
        </is>
      </c>
    </row>
    <row r="3">
      <c r="A3" s="11" t="inlineStr">
        <is>
          <t>層級 / 情境</t>
        </is>
      </c>
      <c r="B3" s="12" t="inlineStr">
        <is>
          <t>A: GP包(報告)</t>
        </is>
      </c>
      <c r="C3" s="12" t="inlineStr">
        <is>
          <t>B: 調整+pref35</t>
        </is>
      </c>
      <c r="D3" s="12" t="inlineStr">
        <is>
          <t>C: 調整+獨立pref</t>
        </is>
      </c>
    </row>
    <row r="4">
      <c r="A4" s="35" t="inlineStr">
        <is>
          <t>總價值（分配+NAV）</t>
        </is>
      </c>
      <c r="B4" s="3">
        <f>Returns!C5+Returns!C6</f>
        <v/>
      </c>
      <c r="C4" s="3">
        <f>Returns!D5+Returns!D6</f>
        <v/>
      </c>
      <c r="D4" s="3">
        <f>Returns!D5+Returns!D6</f>
        <v/>
      </c>
    </row>
    <row r="5">
      <c r="A5" s="2" t="inlineStr">
        <is>
          <t>承諾出資 Contributed</t>
        </is>
      </c>
      <c r="B5" s="3">
        <f>Returns!C4</f>
        <v/>
      </c>
      <c r="C5" s="3">
        <f>Returns!C4</f>
        <v/>
      </c>
      <c r="D5" s="3">
        <f>Returns!C4</f>
        <v/>
      </c>
    </row>
    <row r="6">
      <c r="A6" s="2" t="inlineStr">
        <is>
          <t>優先報酬 Preferred</t>
        </is>
      </c>
      <c r="B6" s="4" t="n">
        <v>35000000</v>
      </c>
      <c r="C6" s="4" t="n">
        <v>35000000</v>
      </c>
      <c r="D6" s="3">
        <f>'Pref Recompute'!E15</f>
        <v/>
      </c>
    </row>
    <row r="8">
      <c r="A8" s="2" t="inlineStr">
        <is>
          <t>① 返還出資</t>
        </is>
      </c>
      <c r="B8" s="24">
        <f>MIN(B4,B5)</f>
        <v/>
      </c>
      <c r="C8" s="24">
        <f>MIN(C4,C5)</f>
        <v/>
      </c>
      <c r="D8" s="24">
        <f>MIN(D4,D5)</f>
        <v/>
      </c>
    </row>
    <row r="9">
      <c r="A9" s="8" t="inlineStr">
        <is>
          <t xml:space="preserve">  餘 after capital</t>
        </is>
      </c>
      <c r="B9" s="18">
        <f>B4-B8</f>
        <v/>
      </c>
      <c r="C9" s="18">
        <f>C4-C8</f>
        <v/>
      </c>
      <c r="D9" s="18">
        <f>D4-D8</f>
        <v/>
      </c>
    </row>
    <row r="10">
      <c r="A10" s="2" t="inlineStr">
        <is>
          <t>② LP 優先報酬(付)</t>
        </is>
      </c>
      <c r="B10" s="24">
        <f>MIN(B9,B6)</f>
        <v/>
      </c>
      <c r="C10" s="24">
        <f>MIN(C9,C6)</f>
        <v/>
      </c>
      <c r="D10" s="24">
        <f>MIN(D9,D6)</f>
        <v/>
      </c>
    </row>
    <row r="11">
      <c r="A11" s="8" t="inlineStr">
        <is>
          <t xml:space="preserve">  餘 after pref</t>
        </is>
      </c>
      <c r="B11" s="18">
        <f>B9-B10</f>
        <v/>
      </c>
      <c r="C11" s="18">
        <f>C9-C10</f>
        <v/>
      </c>
      <c r="D11" s="18">
        <f>D9-D10</f>
        <v/>
      </c>
    </row>
    <row r="12">
      <c r="A12" s="2" t="inlineStr">
        <is>
          <t>③ GP 追補 catch-up</t>
        </is>
      </c>
      <c r="B12" s="24">
        <f>MIN(B11,IF(B10&gt;=B6,0.25*B6,0))</f>
        <v/>
      </c>
      <c r="C12" s="24">
        <f>MIN(C11,IF(C10&gt;=C6,0.25*C6,0))</f>
        <v/>
      </c>
      <c r="D12" s="24">
        <f>MIN(D11,IF(D10&gt;=D6,0.25*D6,0))</f>
        <v/>
      </c>
    </row>
    <row r="13">
      <c r="A13" s="8" t="inlineStr">
        <is>
          <t xml:space="preserve">  餘 after catch-up</t>
        </is>
      </c>
      <c r="B13" s="18">
        <f>B11-B12</f>
        <v/>
      </c>
      <c r="C13" s="18">
        <f>C11-C12</f>
        <v/>
      </c>
      <c r="D13" s="18">
        <f>D11-D12</f>
        <v/>
      </c>
    </row>
    <row r="14">
      <c r="A14" s="2" t="inlineStr">
        <is>
          <t>④ 80/20 — LP 80%</t>
        </is>
      </c>
      <c r="B14" s="24">
        <f>B13*0.8</f>
        <v/>
      </c>
      <c r="C14" s="24">
        <f>C13*0.8</f>
        <v/>
      </c>
      <c r="D14" s="24">
        <f>D13*0.8</f>
        <v/>
      </c>
    </row>
    <row r="15">
      <c r="A15" s="2" t="inlineStr">
        <is>
          <t>④ 80/20 — GP 20%</t>
        </is>
      </c>
      <c r="B15" s="24">
        <f>B13*0.2</f>
        <v/>
      </c>
      <c r="C15" s="24">
        <f>C13*0.2</f>
        <v/>
      </c>
      <c r="D15" s="24">
        <f>D13*0.2</f>
        <v/>
      </c>
    </row>
    <row r="17">
      <c r="A17" s="37" t="inlineStr">
        <is>
          <t>GP Carry 合計</t>
        </is>
      </c>
      <c r="B17" s="38">
        <f>B12+B15</f>
        <v/>
      </c>
      <c r="C17" s="38">
        <f>C12+C15</f>
        <v/>
      </c>
      <c r="D17" s="38">
        <f>D12+D15</f>
        <v/>
      </c>
    </row>
    <row r="18">
      <c r="A18" s="39" t="inlineStr">
        <is>
          <t>LP 合計</t>
        </is>
      </c>
      <c r="B18" s="40">
        <f>B8+B10+B14</f>
        <v/>
      </c>
      <c r="C18" s="40">
        <f>C8+C10+C14</f>
        <v/>
      </c>
      <c r="D18" s="40">
        <f>D8+D10+D14</f>
        <v/>
      </c>
    </row>
    <row r="19">
      <c r="A19" s="8" t="inlineStr">
        <is>
          <t>檢查 LP+GP=總價值</t>
        </is>
      </c>
      <c r="B19" s="17">
        <f>IF(ROUND(B17+B18-B4,0)=0,"✓","✗")</f>
        <v/>
      </c>
      <c r="C19" s="17">
        <f>IF(ROUND(C17+C18-C4,0)=0,"✓","✗")</f>
        <v/>
      </c>
      <c r="D19" s="17">
        <f>IF(ROUND(D17+D18-D4,0)=0,"✓","✗")</f>
        <v/>
      </c>
    </row>
    <row r="21">
      <c r="A21" s="16" t="inlineStr">
        <is>
          <t>註：情境C用獨立重算pref(~69M);若調整後NAV未達 capital+pref → 無 catch-up、carry=0。pref基準須CCO對帳後定案。</t>
        </is>
      </c>
      <c r="B21" s="41" t="n"/>
      <c r="C21" s="41" t="n"/>
      <c r="D21" s="42" t="n"/>
    </row>
    <row r="22">
      <c r="A22" s="43" t="n"/>
      <c r="B22" s="44" t="n"/>
      <c r="C22" s="44" t="n"/>
      <c r="D22" s="45" t="n"/>
    </row>
  </sheetData>
  <mergeCells count="2">
    <mergeCell ref="A1:D1"/>
    <mergeCell ref="A21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2026-06-18T04:55:30Z</dcterms:created>
  <dcterms:modified xmlns:dcterms="http://purl.org/dc/terms/" xmlns:xsi="http://www.w3.org/2001/XMLSchema-instance" xsi:type="dcterms:W3CDTF">2026-06-18T04:55:30Z</dcterms:modified>
</cp:coreProperties>
</file>