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tball Field" sheetId="1" state="visible" r:id="rId1"/>
    <sheet xmlns:r="http://schemas.openxmlformats.org/officeDocument/2006/relationships" name="LBO" sheetId="2" state="visible" r:id="rId2"/>
    <sheet xmlns:r="http://schemas.openxmlformats.org/officeDocument/2006/relationships" name="Comps" sheetId="3" state="visible" r:id="rId3"/>
    <sheet xmlns:r="http://schemas.openxmlformats.org/officeDocument/2006/relationships" name="Precedent Txns" sheetId="4" state="visible" r:id="rId4"/>
    <sheet xmlns:r="http://schemas.openxmlformats.org/officeDocument/2006/relationships" name="DCF Summary" sheetId="5" state="visible" r:id="rId5"/>
    <sheet xmlns:r="http://schemas.openxmlformats.org/officeDocument/2006/relationships" name="Synergies &amp; 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.00"/>
    <numFmt numFmtId="165" formatCode="+0.0%;(0.0%)"/>
    <numFmt numFmtId="166" formatCode="0.000"/>
    <numFmt numFmtId="167" formatCode="$#,##0.0"/>
    <numFmt numFmtId="168" formatCode="0.0&quot;x&quot;"/>
    <numFmt numFmtId="169" formatCode="0.0%"/>
    <numFmt numFmtId="170" formatCode="0.00&quot;x&quot;"/>
    <numFmt numFmtId="171" formatCode="$#,##0"/>
  </numFmts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3"/>
    </font>
    <font>
      <name val="Microsoft JhengHei"/>
      <color rgb="00000000"/>
      <sz val="8"/>
    </font>
    <font>
      <name val="Microsoft JhengHei"/>
      <b val="1"/>
      <color rgb="00FFFFFF"/>
      <sz val="11"/>
    </font>
    <font>
      <name val="Microsoft JhengHei"/>
      <color rgb="00000000"/>
      <sz val="10"/>
    </font>
    <font>
      <name val="Microsoft JhengHei"/>
      <color rgb="000000FF"/>
      <sz val="10"/>
    </font>
    <font>
      <name val="Microsoft JhengHei"/>
      <b val="1"/>
      <color rgb="00000000"/>
      <sz val="10"/>
    </font>
    <font>
      <name val="Microsoft JhengHei"/>
      <color rgb="00800080"/>
      <sz val="10"/>
    </font>
    <font>
      <name val="Microsoft JhengHei"/>
      <b val="1"/>
      <color rgb="00FFFFFF"/>
      <sz val="9"/>
    </font>
    <font>
      <name val="Microsoft JhengHei"/>
      <b val="1"/>
      <color rgb="00000000"/>
      <sz val="11"/>
    </font>
    <font>
      <name val="Microsoft JhengHei"/>
      <b val="1"/>
      <color rgb="00000000"/>
      <sz val="9"/>
    </font>
    <font>
      <name val="Microsoft JhengHei"/>
      <b val="1"/>
      <color rgb="00FFFFFF"/>
      <sz val="12"/>
    </font>
    <font>
      <name val="Microsoft JhengHei"/>
      <color rgb="00000000"/>
      <sz val="9"/>
    </font>
    <font>
      <name val="Microsoft JhengHei"/>
      <color rgb="000000FF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9BAFC4"/>
      </left>
      <right style="thin">
        <color rgb="009BAFC4"/>
      </right>
      <top style="thin">
        <color rgb="009BAFC4"/>
      </top>
      <bottom style="thin">
        <color rgb="009BAFC4"/>
      </bottom>
    </border>
    <border>
      <left/>
      <right/>
      <top style="thin">
        <color rgb="009BAFC4"/>
      </top>
      <bottom/>
      <diagonal/>
    </border>
    <border>
      <left/>
      <right style="thin">
        <color rgb="009BAFC4"/>
      </right>
      <top style="thin">
        <color rgb="009BAFC4"/>
      </top>
      <bottom/>
      <diagonal/>
    </border>
    <border>
      <left/>
      <right/>
      <top style="thin">
        <color rgb="009BAFC4"/>
      </top>
      <bottom style="thin">
        <color rgb="009BAFC4"/>
      </bottom>
      <diagonal/>
    </border>
    <border>
      <left/>
      <right style="thin">
        <color rgb="009BAFC4"/>
      </right>
      <top style="thin">
        <color rgb="009BAFC4"/>
      </top>
      <bottom style="thin">
        <color rgb="009BAFC4"/>
      </bottom>
      <diagonal/>
    </border>
    <border>
      <left style="thin">
        <color rgb="009BAFC4"/>
      </left>
      <right/>
      <top/>
      <bottom/>
      <diagonal/>
    </border>
    <border>
      <left/>
      <right style="thin">
        <color rgb="009BAFC4"/>
      </right>
      <top/>
      <bottom/>
      <diagonal/>
    </border>
    <border>
      <left style="thin">
        <color rgb="009BAFC4"/>
      </left>
      <right/>
      <top/>
      <bottom style="thin">
        <color rgb="009BAFC4"/>
      </bottom>
      <diagonal/>
    </border>
    <border>
      <left/>
      <right/>
      <top/>
      <bottom style="thin">
        <color rgb="009BAFC4"/>
      </bottom>
      <diagonal/>
    </border>
    <border>
      <left/>
      <right style="thin">
        <color rgb="009BAFC4"/>
      </right>
      <top/>
      <bottom style="thin">
        <color rgb="009BAFC4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171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171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167" fontId="6" fillId="4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 wrapText="1"/>
    </xf>
    <xf numFmtId="169" fontId="5" fillId="3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170" fontId="9" fillId="5" borderId="1" applyAlignment="1" pivotButton="0" quotePrefix="0" xfId="0">
      <alignment horizontal="right" vertical="center"/>
    </xf>
    <xf numFmtId="169" fontId="9" fillId="5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1" fillId="2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167" fontId="5" fillId="3" borderId="1" applyAlignment="1" pivotButton="0" quotePrefix="0" xfId="0">
      <alignment horizontal="center" vertical="center" wrapText="1"/>
    </xf>
    <xf numFmtId="168" fontId="13" fillId="4" borderId="1" applyAlignment="1" pivotButton="0" quotePrefix="0" xfId="0">
      <alignment horizontal="center" vertical="center" wrapText="1"/>
    </xf>
    <xf numFmtId="171" fontId="13" fillId="4" borderId="1" applyAlignment="1" pivotButton="0" quotePrefix="0" xfId="0">
      <alignment horizontal="center" vertical="center" wrapText="1"/>
    </xf>
    <xf numFmtId="169" fontId="4" fillId="6" borderId="1" applyAlignment="1" pivotButton="0" quotePrefix="0" xfId="0">
      <alignment horizontal="center" vertical="center" wrapText="1"/>
    </xf>
    <xf numFmtId="169" fontId="4" fillId="3" borderId="1" applyAlignment="1" pivotButton="0" quotePrefix="0" xfId="0">
      <alignment horizontal="center" vertical="center" wrapText="1"/>
    </xf>
    <xf numFmtId="169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pitch</author>
  </authors>
  <commentList>
    <comment ref="B5" authorId="0" shapeId="0">
      <text>
        <t>示意:現價 $320 +25% 控制溢價</t>
      </text>
    </comment>
    <comment ref="B9" authorId="0" shapeId="0">
      <text>
        <t>13.75 rev x 22.6% EBITDA margin</t>
      </text>
    </comment>
    <comment ref="F11" authorId="0" shapeId="0">
      <text>
        <t>示意報價下進場倍數—極高,凸顯不可行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30" customWidth="1" min="6" max="6"/>
  </cols>
  <sheetData>
    <row r="1" ht="24" customHeight="1">
      <c r="A1" s="1" t="inlineStr">
        <is>
          <t>估值區間彙總 Football Field — Vertiv (VRT)</t>
        </is>
      </c>
    </row>
    <row r="2">
      <c r="A2" s="2" t="inlineStr">
        <is>
          <t>每股 US$;現價 $320;示意控制報價 $400(+25%)</t>
        </is>
      </c>
    </row>
    <row r="4">
      <c r="A4" s="3" t="inlineStr">
        <is>
          <t>估值法</t>
        </is>
      </c>
      <c r="B4" s="4" t="inlineStr">
        <is>
          <t>低端 $</t>
        </is>
      </c>
      <c r="C4" s="4" t="inlineStr">
        <is>
          <t>高端 $</t>
        </is>
      </c>
      <c r="D4" s="4" t="inlineStr">
        <is>
          <t>中點 $</t>
        </is>
      </c>
      <c r="E4" s="4" t="inlineStr">
        <is>
          <t>vs現價</t>
        </is>
      </c>
      <c r="F4" s="4" t="inlineStr">
        <is>
          <t>說明</t>
        </is>
      </c>
    </row>
    <row r="5">
      <c r="A5" s="5" t="inlineStr">
        <is>
          <t>52週交易區間</t>
        </is>
      </c>
      <c r="B5" s="6" t="n">
        <v>130</v>
      </c>
      <c r="C5" s="6" t="n">
        <v>400</v>
      </c>
      <c r="D5" s="7" t="inlineStr">
        <is>
          <t>~$265</t>
        </is>
      </c>
      <c r="E5" s="8">
        <f>(130+400)/2/320-1</f>
        <v/>
      </c>
      <c r="F5" s="9" t="inlineStr">
        <is>
          <t>市場情緒(示意)</t>
        </is>
      </c>
    </row>
    <row r="6">
      <c r="A6" s="5" t="inlineStr">
        <is>
          <t>分析師目標價</t>
        </is>
      </c>
      <c r="B6" s="6" t="n">
        <v>300</v>
      </c>
      <c r="C6" s="6" t="n">
        <v>450</v>
      </c>
      <c r="D6" s="7" t="inlineStr">
        <is>
          <t>~$375</t>
        </is>
      </c>
      <c r="E6" s="8">
        <f>(300+450)/2/320-1</f>
        <v/>
      </c>
      <c r="F6" s="9" t="inlineStr">
        <is>
          <t>賣方共識(示意);BofA等</t>
        </is>
      </c>
    </row>
    <row r="7">
      <c r="A7" s="5" t="inlineStr">
        <is>
          <t>同業比較 Comps</t>
        </is>
      </c>
      <c r="B7" s="6" t="n">
        <v>198</v>
      </c>
      <c r="C7" s="6" t="n">
        <v>320</v>
      </c>
      <c r="D7" s="7" t="inlineStr">
        <is>
          <t>$259</t>
        </is>
      </c>
      <c r="E7" s="8">
        <f>(198+320)/2/320-1</f>
        <v/>
      </c>
      <c r="F7" s="9" t="inlineStr">
        <is>
          <t>25–40x FY26E EBITDA</t>
        </is>
      </c>
    </row>
    <row r="8">
      <c r="A8" s="5" t="inlineStr">
        <is>
          <t>先例交易</t>
        </is>
      </c>
      <c r="B8" s="6" t="n">
        <v>158</v>
      </c>
      <c r="C8" s="6" t="n">
        <v>223</v>
      </c>
      <c r="D8" s="7" t="inlineStr">
        <is>
          <t>$191</t>
        </is>
      </c>
      <c r="E8" s="8">
        <f>(158+223)/2/320-1</f>
        <v/>
      </c>
      <c r="F8" s="9" t="inlineStr">
        <is>
          <t>20–28x;純散熱控制交易</t>
        </is>
      </c>
    </row>
    <row r="9">
      <c r="A9" s="5" t="inlineStr">
        <is>
          <t>DCF</t>
        </is>
      </c>
      <c r="B9" s="6" t="n">
        <v>100</v>
      </c>
      <c r="C9" s="6" t="n">
        <v>245</v>
      </c>
      <c r="D9" s="7" t="inlineStr">
        <is>
          <t>$173</t>
        </is>
      </c>
      <c r="E9" s="8">
        <f>(100+245)/2/320-1</f>
        <v/>
      </c>
      <c r="F9" s="9" t="inlineStr">
        <is>
          <t>永續法~$102 / 出場22x~$245</t>
        </is>
      </c>
    </row>
    <row r="10">
      <c r="A10" s="5" t="inlineStr">
        <is>
          <t>LBO ability-to-pay</t>
        </is>
      </c>
      <c r="B10" s="6" t="n">
        <v>168</v>
      </c>
      <c r="C10" s="6" t="n">
        <v>196</v>
      </c>
      <c r="D10" s="7" t="inlineStr">
        <is>
          <t>$182</t>
        </is>
      </c>
      <c r="E10" s="8">
        <f>(168+196)/2/320-1</f>
        <v/>
      </c>
      <c r="F10" s="9" t="inlineStr">
        <is>
          <t>20–25% IRR 反推</t>
        </is>
      </c>
    </row>
    <row r="12">
      <c r="A12" s="10" t="inlineStr">
        <is>
          <t>現價 Current</t>
        </is>
      </c>
      <c r="B12" s="11" t="n">
        <v>320</v>
      </c>
    </row>
    <row r="13">
      <c r="A13" s="10" t="inlineStr">
        <is>
          <t>示意報價 Offer</t>
        </is>
      </c>
      <c r="B13" s="11" t="n">
        <v>400</v>
      </c>
    </row>
    <row r="15">
      <c r="A15" s="12" t="inlineStr">
        <is>
          <t>核心結論:現價 $320 已位於多數內在/交易法之上;控制溢價(→~$400)僅情緒類參考(52週高/樂觀PT)可及。</t>
        </is>
      </c>
      <c r="B15" s="13" t="n"/>
      <c r="C15" s="13" t="n"/>
      <c r="D15" s="13" t="n"/>
      <c r="E15" s="13" t="n"/>
      <c r="F15" s="14" t="n"/>
    </row>
    <row r="16">
      <c r="A16" s="15" t="inlineStr">
        <is>
          <t>內在(DCF)、先例交易與 LBO ability-to-pay 一致指向 $158–$245——收購 VRT 需對已偏貴的價格再付溢價,且 LBO 規模/倍數不可行。</t>
        </is>
      </c>
      <c r="B16" s="13" t="n"/>
      <c r="C16" s="13" t="n"/>
      <c r="D16" s="13" t="n"/>
      <c r="E16" s="13" t="n"/>
      <c r="F16" s="14" t="n"/>
    </row>
  </sheetData>
  <mergeCells count="4">
    <mergeCell ref="A2:F2"/>
    <mergeCell ref="A16:F16"/>
    <mergeCell ref="A1:F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</cols>
  <sheetData>
    <row r="1" ht="24" customHeight="1">
      <c r="A1" s="1" t="inlineStr">
        <is>
          <t>Vertiv (VRT) — 示意槓桿收購 ILLUSTRATIVE LBO</t>
        </is>
      </c>
    </row>
    <row r="2">
      <c r="A2" s="16" t="inlineStr">
        <is>
          <t>US$bn(每股除外)| 藍=輸入 黑=公式 紫=同頁連結 | 示意性:VRT 規模 ~$122bn,傳統 LBO 不可行,本表僅示範報酬數學</t>
        </is>
      </c>
    </row>
    <row r="4">
      <c r="A4" s="17" t="inlineStr">
        <is>
          <t>假設 ASSUMPTIONS</t>
        </is>
      </c>
      <c r="B4" s="18" t="n"/>
      <c r="C4" s="18" t="n"/>
      <c r="E4" s="17" t="inlineStr">
        <is>
          <t>資金來源與用途 SOURCES &amp; USES</t>
        </is>
      </c>
      <c r="F4" s="18" t="n"/>
      <c r="G4" s="18" t="n"/>
      <c r="H4" s="18" t="n"/>
    </row>
    <row r="5">
      <c r="A5" s="19" t="inlineStr">
        <is>
          <t>報價/股 Offer ($)</t>
        </is>
      </c>
      <c r="B5" s="20" t="n">
        <v>400</v>
      </c>
      <c r="E5" s="21" t="inlineStr">
        <is>
          <t>用途 Uses</t>
        </is>
      </c>
      <c r="F5" s="22" t="inlineStr"/>
      <c r="G5" s="21" t="inlineStr">
        <is>
          <t>來源 Sources</t>
        </is>
      </c>
      <c r="H5" s="22" t="inlineStr"/>
    </row>
    <row r="6">
      <c r="A6" s="19" t="inlineStr">
        <is>
          <t>對現價溢價</t>
        </is>
      </c>
      <c r="B6" s="23">
        <f>B5/320-1</f>
        <v/>
      </c>
      <c r="E6" s="19" t="inlineStr">
        <is>
          <t>購買股權</t>
        </is>
      </c>
      <c r="F6" s="24">
        <f>B5*B7</f>
        <v/>
      </c>
      <c r="G6" s="19" t="inlineStr">
        <is>
          <t>新負債</t>
        </is>
      </c>
      <c r="H6" s="24">
        <f>B10*B9</f>
        <v/>
      </c>
    </row>
    <row r="7">
      <c r="A7" s="19" t="inlineStr">
        <is>
          <t>股數 (bn)</t>
        </is>
      </c>
      <c r="B7" s="25" t="n">
        <v>0.382</v>
      </c>
      <c r="E7" s="19" t="inlineStr">
        <is>
          <t>再融資淨負債</t>
        </is>
      </c>
      <c r="F7" s="26">
        <f>B8</f>
        <v/>
      </c>
      <c r="G7" s="19" t="inlineStr">
        <is>
          <t>發起人股權(plug)</t>
        </is>
      </c>
      <c r="H7" s="24">
        <f>F9-H6</f>
        <v/>
      </c>
    </row>
    <row r="8">
      <c r="A8" s="19" t="inlineStr">
        <is>
          <t>現有淨負債</t>
        </is>
      </c>
      <c r="B8" s="27" t="n">
        <v>1.9</v>
      </c>
      <c r="E8" s="19" t="inlineStr">
        <is>
          <t>交易費用</t>
        </is>
      </c>
      <c r="F8" s="24">
        <f>F6*B13</f>
        <v/>
      </c>
    </row>
    <row r="9">
      <c r="A9" s="19" t="inlineStr">
        <is>
          <t>FY26E EBITDA</t>
        </is>
      </c>
      <c r="B9" s="27" t="n">
        <v>3.11</v>
      </c>
      <c r="E9" s="21" t="inlineStr">
        <is>
          <t>用途合計</t>
        </is>
      </c>
      <c r="F9" s="28">
        <f>SUM(F6:F8)</f>
        <v/>
      </c>
      <c r="G9" s="21" t="inlineStr">
        <is>
          <t>來源合計</t>
        </is>
      </c>
      <c r="H9" s="28">
        <f>H6+H7</f>
        <v/>
      </c>
    </row>
    <row r="10">
      <c r="A10" s="19" t="inlineStr">
        <is>
          <t>進場槓桿 (x EBITDA)</t>
        </is>
      </c>
      <c r="B10" s="29" t="n">
        <v>6</v>
      </c>
      <c r="E10" s="19" t="inlineStr">
        <is>
          <t>進場 EV</t>
        </is>
      </c>
      <c r="F10" s="24">
        <f>F6+B8</f>
        <v/>
      </c>
    </row>
    <row r="11">
      <c r="A11" s="19" t="inlineStr">
        <is>
          <t>負債利率</t>
        </is>
      </c>
      <c r="B11" s="30" t="n">
        <v>0.08</v>
      </c>
      <c r="E11" s="19" t="inlineStr">
        <is>
          <t>進場 EV/EBITDA</t>
        </is>
      </c>
      <c r="F11" s="31">
        <f>F10/B9</f>
        <v/>
      </c>
    </row>
    <row r="12">
      <c r="A12" s="19" t="inlineStr">
        <is>
          <t>稅率</t>
        </is>
      </c>
      <c r="B12" s="30" t="n">
        <v>0.21</v>
      </c>
    </row>
    <row r="13">
      <c r="A13" s="19" t="inlineStr">
        <is>
          <t>交易費用 %股權</t>
        </is>
      </c>
      <c r="B13" s="30" t="n">
        <v>0.025</v>
      </c>
    </row>
    <row r="14">
      <c r="A14" s="19" t="inlineStr">
        <is>
          <t>出場 EV/EBITDA</t>
        </is>
      </c>
      <c r="B14" s="29" t="n">
        <v>22</v>
      </c>
    </row>
    <row r="16">
      <c r="A16" s="17" t="inlineStr">
        <is>
          <t>營運模型 OPERATING MODEL (FY27→FY31E)</t>
        </is>
      </c>
      <c r="B16" s="18" t="n"/>
      <c r="C16" s="18" t="n"/>
      <c r="D16" s="18" t="n"/>
      <c r="E16" s="18" t="n"/>
      <c r="F16" s="18" t="n"/>
      <c r="G16" s="18" t="n"/>
      <c r="H16" s="18" t="n"/>
    </row>
    <row r="17">
      <c r="A17" s="3" t="inlineStr">
        <is>
          <t>項目</t>
        </is>
      </c>
      <c r="C17" s="4" t="inlineStr">
        <is>
          <t>進場FY26</t>
        </is>
      </c>
      <c r="D17" s="4" t="inlineStr">
        <is>
          <t>FY27E</t>
        </is>
      </c>
      <c r="E17" s="4" t="inlineStr">
        <is>
          <t>FY28E</t>
        </is>
      </c>
      <c r="F17" s="4" t="inlineStr">
        <is>
          <t>FY29E</t>
        </is>
      </c>
      <c r="G17" s="4" t="inlineStr">
        <is>
          <t>FY30E</t>
        </is>
      </c>
      <c r="H17" s="4" t="inlineStr">
        <is>
          <t>FY31E</t>
        </is>
      </c>
    </row>
    <row r="18">
      <c r="A18" s="19" t="inlineStr">
        <is>
          <t>營收成長 %</t>
        </is>
      </c>
      <c r="D18" s="32" t="n">
        <v>0.22</v>
      </c>
      <c r="E18" s="32" t="n">
        <v>0.16</v>
      </c>
      <c r="F18" s="32" t="n">
        <v>0.12</v>
      </c>
      <c r="G18" s="32" t="n">
        <v>0.09</v>
      </c>
      <c r="H18" s="32" t="n">
        <v>0.07000000000000001</v>
      </c>
    </row>
    <row r="19">
      <c r="A19" s="12" t="inlineStr">
        <is>
          <t>營收 Revenue</t>
        </is>
      </c>
      <c r="C19" s="27" t="n">
        <v>13.75</v>
      </c>
      <c r="D19" s="33">
        <f>C19*(1+D18)</f>
        <v/>
      </c>
      <c r="E19" s="33">
        <f>D19*(1+E18)</f>
        <v/>
      </c>
      <c r="F19" s="33">
        <f>E19*(1+F18)</f>
        <v/>
      </c>
      <c r="G19" s="33">
        <f>F19*(1+G18)</f>
        <v/>
      </c>
      <c r="H19" s="33">
        <f>G19*(1+H18)</f>
        <v/>
      </c>
    </row>
    <row r="20">
      <c r="A20" s="19" t="inlineStr">
        <is>
          <t>EBITDA 利潤率 %</t>
        </is>
      </c>
      <c r="D20" s="30" t="n">
        <v>0.235</v>
      </c>
      <c r="E20" s="30" t="n">
        <v>0.245</v>
      </c>
      <c r="F20" s="30" t="n">
        <v>0.255</v>
      </c>
      <c r="G20" s="30" t="n">
        <v>0.26</v>
      </c>
      <c r="H20" s="30" t="n">
        <v>0.27</v>
      </c>
    </row>
    <row r="21">
      <c r="A21" s="12" t="inlineStr">
        <is>
          <t>EBITDA</t>
        </is>
      </c>
      <c r="D21" s="33">
        <f>D19*D20</f>
        <v/>
      </c>
      <c r="E21" s="33">
        <f>E19*E20</f>
        <v/>
      </c>
      <c r="F21" s="33">
        <f>F19*F20</f>
        <v/>
      </c>
      <c r="G21" s="33">
        <f>G19*G20</f>
        <v/>
      </c>
      <c r="H21" s="33">
        <f>H19*H20</f>
        <v/>
      </c>
    </row>
    <row r="22">
      <c r="A22" s="19" t="inlineStr">
        <is>
          <t xml:space="preserve">  減：D&amp;A(2.6%)</t>
        </is>
      </c>
      <c r="D22" s="24">
        <f>D19*0.026</f>
        <v/>
      </c>
      <c r="E22" s="24">
        <f>E19*0.026</f>
        <v/>
      </c>
      <c r="F22" s="24">
        <f>F19*0.026</f>
        <v/>
      </c>
      <c r="G22" s="24">
        <f>G19*0.026</f>
        <v/>
      </c>
      <c r="H22" s="24">
        <f>H19*0.026</f>
        <v/>
      </c>
    </row>
    <row r="23">
      <c r="A23" s="19" t="inlineStr">
        <is>
          <t>EBIT</t>
        </is>
      </c>
      <c r="D23" s="24">
        <f>D21-D22</f>
        <v/>
      </c>
      <c r="E23" s="24">
        <f>E21-E22</f>
        <v/>
      </c>
      <c r="F23" s="24">
        <f>F21-F22</f>
        <v/>
      </c>
      <c r="G23" s="24">
        <f>G21-G22</f>
        <v/>
      </c>
      <c r="H23" s="24">
        <f>H21-H22</f>
        <v/>
      </c>
    </row>
    <row r="24">
      <c r="A24" s="19" t="inlineStr">
        <is>
          <t xml:space="preserve">  減：Capex(2.3%)</t>
        </is>
      </c>
      <c r="D24" s="24">
        <f>D19*0.023</f>
        <v/>
      </c>
      <c r="E24" s="24">
        <f>E19*0.023</f>
        <v/>
      </c>
      <c r="F24" s="24">
        <f>F19*0.023</f>
        <v/>
      </c>
      <c r="G24" s="24">
        <f>G19*0.023</f>
        <v/>
      </c>
      <c r="H24" s="24">
        <f>H19*0.023</f>
        <v/>
      </c>
    </row>
    <row r="25">
      <c r="A25" s="19" t="inlineStr">
        <is>
          <t xml:space="preserve">  減：現金稅</t>
        </is>
      </c>
      <c r="D25" s="24">
        <f>D23*$B$12</f>
        <v/>
      </c>
      <c r="E25" s="24">
        <f>E23*$B$12</f>
        <v/>
      </c>
      <c r="F25" s="24">
        <f>F23*$B$12</f>
        <v/>
      </c>
      <c r="G25" s="24">
        <f>G23*$B$12</f>
        <v/>
      </c>
      <c r="H25" s="24">
        <f>H23*$B$12</f>
        <v/>
      </c>
    </row>
    <row r="26">
      <c r="A26" s="19" t="inlineStr">
        <is>
          <t xml:space="preserve">  減：ΔNWC(8%)</t>
        </is>
      </c>
      <c r="D26" s="24">
        <f>(D19-C19)*0.08</f>
        <v/>
      </c>
      <c r="E26" s="24">
        <f>(E19-D19)*0.08</f>
        <v/>
      </c>
      <c r="F26" s="24">
        <f>(F19-E19)*0.08</f>
        <v/>
      </c>
      <c r="G26" s="24">
        <f>(G19-F19)*0.08</f>
        <v/>
      </c>
      <c r="H26" s="24">
        <f>(H19-G19)*0.08</f>
        <v/>
      </c>
    </row>
    <row r="28">
      <c r="A28" s="19" t="inlineStr">
        <is>
          <t>負債期初</t>
        </is>
      </c>
      <c r="D28" s="26">
        <f>H6</f>
        <v/>
      </c>
      <c r="E28" s="24">
        <f>D31</f>
        <v/>
      </c>
      <c r="F28" s="24">
        <f>E31</f>
        <v/>
      </c>
      <c r="G28" s="24">
        <f>F31</f>
        <v/>
      </c>
      <c r="H28" s="24">
        <f>G31</f>
        <v/>
      </c>
    </row>
    <row r="29">
      <c r="A29" s="19" t="inlineStr">
        <is>
          <t xml:space="preserve">  利息(期初×利率)</t>
        </is>
      </c>
      <c r="D29" s="24">
        <f>D28*$B$11</f>
        <v/>
      </c>
      <c r="E29" s="24">
        <f>E28*$B$11</f>
        <v/>
      </c>
      <c r="F29" s="24">
        <f>F28*$B$11</f>
        <v/>
      </c>
      <c r="G29" s="24">
        <f>G28*$B$11</f>
        <v/>
      </c>
      <c r="H29" s="24">
        <f>H28*$B$11</f>
        <v/>
      </c>
    </row>
    <row r="30">
      <c r="A30" s="19" t="inlineStr">
        <is>
          <t>FCF 可償債</t>
        </is>
      </c>
      <c r="D30" s="24">
        <f>D21-D24-D25-D29-D26</f>
        <v/>
      </c>
      <c r="E30" s="24">
        <f>E21-E24-E25-E29-E26</f>
        <v/>
      </c>
      <c r="F30" s="24">
        <f>F21-F24-F25-F29-F26</f>
        <v/>
      </c>
      <c r="G30" s="24">
        <f>G21-G24-G25-G29-G26</f>
        <v/>
      </c>
      <c r="H30" s="24">
        <f>H21-H24-H25-H29-H26</f>
        <v/>
      </c>
    </row>
    <row r="31">
      <c r="A31" s="21" t="inlineStr">
        <is>
          <t>負債期末(掃債)</t>
        </is>
      </c>
      <c r="D31" s="28">
        <f>MAX(D28-D30,0)</f>
        <v/>
      </c>
      <c r="E31" s="28">
        <f>MAX(E28-E30,0)</f>
        <v/>
      </c>
      <c r="F31" s="28">
        <f>MAX(F28-F30,0)</f>
        <v/>
      </c>
      <c r="G31" s="28">
        <f>MAX(G28-G30,0)</f>
        <v/>
      </c>
      <c r="H31" s="28">
        <f>MAX(H28-H30,0)</f>
        <v/>
      </c>
    </row>
    <row r="33">
      <c r="A33" s="17" t="inlineStr">
        <is>
          <t>出場與報酬 EXIT &amp; RETURNS</t>
        </is>
      </c>
      <c r="B33" s="18" t="n"/>
      <c r="C33" s="18" t="n"/>
      <c r="D33" s="18" t="n"/>
      <c r="E33" s="18" t="n"/>
      <c r="F33" s="18" t="n"/>
      <c r="G33" s="18" t="n"/>
      <c r="H33" s="18" t="n"/>
    </row>
    <row r="34">
      <c r="A34" s="19" t="inlineStr">
        <is>
          <t>出場 EBITDA (FY31)</t>
        </is>
      </c>
      <c r="B34" s="26">
        <f>H21</f>
        <v/>
      </c>
      <c r="D34" s="21" t="inlineStr">
        <is>
          <t>Ability-to-Pay(反推進場)</t>
        </is>
      </c>
      <c r="E34" s="13" t="n"/>
      <c r="F34" s="13" t="n"/>
      <c r="G34" s="13" t="n"/>
      <c r="H34" s="14" t="n"/>
    </row>
    <row r="35">
      <c r="A35" s="19" t="inlineStr">
        <is>
          <t>出場 EV (×倍數)</t>
        </is>
      </c>
      <c r="B35" s="24">
        <f>B34*B14</f>
        <v/>
      </c>
      <c r="D35" s="34" t="inlineStr">
        <is>
          <t>目標 IRR</t>
        </is>
      </c>
      <c r="E35" s="34" t="inlineStr">
        <is>
          <t>進場股權</t>
        </is>
      </c>
      <c r="F35" s="34" t="inlineStr">
        <is>
          <t>進場 EV</t>
        </is>
      </c>
      <c r="G35" s="34" t="inlineStr">
        <is>
          <t>每股 $</t>
        </is>
      </c>
    </row>
    <row r="36">
      <c r="A36" s="19" t="inlineStr">
        <is>
          <t>減：出場淨負債</t>
        </is>
      </c>
      <c r="B36" s="26">
        <f>H31</f>
        <v/>
      </c>
      <c r="D36" s="35" t="n">
        <v>0.15</v>
      </c>
      <c r="E36" s="36">
        <f>$B$37/(1+D36)^5</f>
        <v/>
      </c>
      <c r="F36" s="36">
        <f>E36+$H$6</f>
        <v/>
      </c>
      <c r="G36" s="37">
        <f>(F36-$B$8)/$B$7</f>
        <v/>
      </c>
    </row>
    <row r="37">
      <c r="A37" s="21" t="inlineStr">
        <is>
          <t>出場股權價值</t>
        </is>
      </c>
      <c r="B37" s="28">
        <f>B35-B36</f>
        <v/>
      </c>
      <c r="D37" s="35" t="n">
        <v>0.2</v>
      </c>
      <c r="E37" s="36">
        <f>$B$37/(1+D37)^5</f>
        <v/>
      </c>
      <c r="F37" s="36">
        <f>E37+$H$6</f>
        <v/>
      </c>
      <c r="G37" s="38">
        <f>(F37-$B$8)/$B$7</f>
        <v/>
      </c>
    </row>
    <row r="38">
      <c r="A38" s="19" t="inlineStr">
        <is>
          <t>發起人進場股權</t>
        </is>
      </c>
      <c r="B38" s="26">
        <f>H7</f>
        <v/>
      </c>
      <c r="D38" s="35" t="n">
        <v>0.25</v>
      </c>
      <c r="E38" s="36">
        <f>$B$37/(1+D38)^5</f>
        <v/>
      </c>
      <c r="F38" s="36">
        <f>E38+$H$6</f>
        <v/>
      </c>
      <c r="G38" s="37">
        <f>(F38-$B$8)/$B$7</f>
        <v/>
      </c>
    </row>
    <row r="39">
      <c r="A39" s="39" t="inlineStr">
        <is>
          <t>MOIC</t>
        </is>
      </c>
      <c r="B39" s="40">
        <f>B37/B38</f>
        <v/>
      </c>
    </row>
    <row r="40">
      <c r="A40" s="39" t="inlineStr">
        <is>
          <t>IRR (5年)</t>
        </is>
      </c>
      <c r="B40" s="41">
        <f>(B37/B38)^(1/5)-1</f>
        <v/>
      </c>
      <c r="D40" s="9" t="inlineStr">
        <is>
          <t>解讀:示意 $400 報價 IRR ~0–1%(不可行);要達 20–25% IRR 進場價需 ~$168–$196,即現價 $320 的大幅折讓。</t>
        </is>
      </c>
      <c r="E40" s="42" t="n"/>
      <c r="F40" s="42" t="n"/>
      <c r="G40" s="42" t="n"/>
      <c r="H40" s="43" t="n"/>
    </row>
    <row r="41">
      <c r="D41" s="44" t="n"/>
      <c r="E41" s="45" t="n"/>
      <c r="F41" s="45" t="n"/>
      <c r="G41" s="45" t="n"/>
      <c r="H41" s="46" t="n"/>
    </row>
  </sheetData>
  <mergeCells count="8">
    <mergeCell ref="D34:H34"/>
    <mergeCell ref="A16:H16"/>
    <mergeCell ref="A2:H2"/>
    <mergeCell ref="E4:H4"/>
    <mergeCell ref="A33:H33"/>
    <mergeCell ref="A1:H1"/>
    <mergeCell ref="A4:C4"/>
    <mergeCell ref="D40:H4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47" t="inlineStr">
        <is>
          <t>同業比較 Trading Comps（散熱/電力基礎設施,資料約 2026/6,估計值）</t>
        </is>
      </c>
    </row>
    <row r="3">
      <c r="A3" s="3" t="inlineStr">
        <is>
          <t>公司</t>
        </is>
      </c>
      <c r="B3" s="4" t="inlineStr">
        <is>
          <t>代碼</t>
        </is>
      </c>
      <c r="C3" s="4" t="inlineStr">
        <is>
          <t>市值$bn</t>
        </is>
      </c>
      <c r="D3" s="4" t="inlineStr">
        <is>
          <t>營收YoY</t>
        </is>
      </c>
      <c r="E3" s="4" t="inlineStr">
        <is>
          <t>EBITDA利潤率</t>
        </is>
      </c>
      <c r="F3" s="4" t="inlineStr">
        <is>
          <t>Fwd P/E</t>
        </is>
      </c>
      <c r="G3" s="4" t="inlineStr">
        <is>
          <t>EV/EBITDA</t>
        </is>
      </c>
      <c r="H3" s="4" t="inlineStr">
        <is>
          <t>純度</t>
        </is>
      </c>
    </row>
    <row r="4">
      <c r="A4" s="48" t="inlineStr">
        <is>
          <t>Vertiv ★</t>
        </is>
      </c>
      <c r="B4" s="49" t="inlineStr">
        <is>
          <t>VRT</t>
        </is>
      </c>
      <c r="C4" s="49" t="inlineStr">
        <is>
          <t>~122</t>
        </is>
      </c>
      <c r="D4" s="49" t="inlineStr">
        <is>
          <t>+28%</t>
        </is>
      </c>
      <c r="E4" s="49" t="inlineStr">
        <is>
          <t>~23%</t>
        </is>
      </c>
      <c r="F4" s="49" t="inlineStr">
        <is>
          <t>~46x</t>
        </is>
      </c>
      <c r="G4" s="49" t="inlineStr">
        <is>
          <t>~40-51x</t>
        </is>
      </c>
      <c r="H4" s="49" t="inlineStr">
        <is>
          <t>純(高)</t>
        </is>
      </c>
    </row>
    <row r="5">
      <c r="A5" s="50" t="inlineStr">
        <is>
          <t>nVent</t>
        </is>
      </c>
      <c r="B5" s="51" t="inlineStr">
        <is>
          <t>NVT</t>
        </is>
      </c>
      <c r="C5" s="51" t="inlineStr">
        <is>
          <t>~28</t>
        </is>
      </c>
      <c r="D5" s="51" t="inlineStr">
        <is>
          <t>+11%</t>
        </is>
      </c>
      <c r="E5" s="51" t="inlineStr">
        <is>
          <t>~20%</t>
        </is>
      </c>
      <c r="F5" s="51" t="inlineStr">
        <is>
          <t>~35x</t>
        </is>
      </c>
      <c r="G5" s="51" t="inlineStr">
        <is>
          <t>~32x</t>
        </is>
      </c>
      <c r="H5" s="51" t="inlineStr">
        <is>
          <t>多元</t>
        </is>
      </c>
    </row>
    <row r="6">
      <c r="A6" s="52" t="inlineStr">
        <is>
          <t>Schneider</t>
        </is>
      </c>
      <c r="B6" s="53" t="inlineStr">
        <is>
          <t>SU.PA</t>
        </is>
      </c>
      <c r="C6" s="53" t="inlineStr">
        <is>
          <t>~160</t>
        </is>
      </c>
      <c r="D6" s="53" t="inlineStr">
        <is>
          <t>+5%</t>
        </is>
      </c>
      <c r="E6" s="53" t="inlineStr">
        <is>
          <t>~19%</t>
        </is>
      </c>
      <c r="F6" s="53" t="inlineStr">
        <is>
          <t>~28x</t>
        </is>
      </c>
      <c r="G6" s="53" t="inlineStr">
        <is>
          <t>~21x</t>
        </is>
      </c>
      <c r="H6" s="53" t="inlineStr">
        <is>
          <t>多元</t>
        </is>
      </c>
    </row>
    <row r="7">
      <c r="A7" s="50" t="inlineStr">
        <is>
          <t>Delta 台達電</t>
        </is>
      </c>
      <c r="B7" s="51" t="inlineStr">
        <is>
          <t>2308</t>
        </is>
      </c>
      <c r="C7" s="51" t="inlineStr">
        <is>
          <t>~187</t>
        </is>
      </c>
      <c r="D7" s="51" t="inlineStr">
        <is>
          <t>+33%</t>
        </is>
      </c>
      <c r="E7" s="51" t="inlineStr">
        <is>
          <t>~18%</t>
        </is>
      </c>
      <c r="F7" s="51" t="inlineStr">
        <is>
          <t>~46x</t>
        </is>
      </c>
      <c r="G7" s="51" t="inlineStr">
        <is>
          <t>n/a</t>
        </is>
      </c>
      <c r="H7" s="51" t="inlineStr">
        <is>
          <t>多元</t>
        </is>
      </c>
    </row>
    <row r="8">
      <c r="A8" s="52" t="inlineStr">
        <is>
          <t>Supermicro</t>
        </is>
      </c>
      <c r="B8" s="53" t="inlineStr">
        <is>
          <t>SMCI</t>
        </is>
      </c>
      <c r="C8" s="53" t="inlineStr">
        <is>
          <t>~18</t>
        </is>
      </c>
      <c r="D8" s="53" t="inlineStr">
        <is>
          <t>+123%</t>
        </is>
      </c>
      <c r="E8" s="53" t="inlineStr">
        <is>
          <t>~6%</t>
        </is>
      </c>
      <c r="F8" s="53" t="inlineStr">
        <is>
          <t>~9x</t>
        </is>
      </c>
      <c r="G8" s="53" t="inlineStr">
        <is>
          <t>~16x</t>
        </is>
      </c>
      <c r="H8" s="53" t="inlineStr">
        <is>
          <t>OEM</t>
        </is>
      </c>
    </row>
    <row r="9">
      <c r="A9" s="50" t="inlineStr">
        <is>
          <t>nVent/同業中位</t>
        </is>
      </c>
      <c r="B9" s="51" t="inlineStr">
        <is>
          <t>—</t>
        </is>
      </c>
      <c r="C9" s="51" t="inlineStr">
        <is>
          <t>—</t>
        </is>
      </c>
      <c r="D9" s="51" t="inlineStr">
        <is>
          <t>—</t>
        </is>
      </c>
      <c r="E9" s="51" t="inlineStr">
        <is>
          <t>—</t>
        </is>
      </c>
      <c r="F9" s="51" t="inlineStr">
        <is>
          <t>~30x</t>
        </is>
      </c>
      <c r="G9" s="51" t="inlineStr">
        <is>
          <t>~26x</t>
        </is>
      </c>
      <c r="H9" s="51" t="inlineStr">
        <is>
          <t>—</t>
        </is>
      </c>
    </row>
    <row r="11">
      <c r="A11" s="54" t="inlineStr">
        <is>
          <t>Comps 隱含 VRT 區間(套 25–40x FY26E EBITDA $3.1bn):每股約 $198–$320。VRT 本身即同業最高倍數,溢價反映 AI 純度與龍頭地位。</t>
        </is>
      </c>
      <c r="B11" s="13" t="n"/>
      <c r="C11" s="13" t="n"/>
      <c r="D11" s="13" t="n"/>
      <c r="E11" s="13" t="n"/>
      <c r="F11" s="13" t="n"/>
      <c r="G11" s="13" t="n"/>
      <c r="H11" s="14" t="n"/>
    </row>
  </sheetData>
  <mergeCells count="2"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7" t="inlineStr">
        <is>
          <t>先例交易 Precedent Transactions（資料中心散熱/基礎設施 2022–2026）</t>
        </is>
      </c>
    </row>
    <row r="3">
      <c r="A3" s="3" t="inlineStr">
        <is>
          <t>日期</t>
        </is>
      </c>
      <c r="B3" s="4" t="inlineStr">
        <is>
          <t>買方</t>
        </is>
      </c>
      <c r="C3" s="4" t="inlineStr">
        <is>
          <t>標的</t>
        </is>
      </c>
      <c r="D3" s="4" t="inlineStr">
        <is>
          <t>EV (US$)</t>
        </is>
      </c>
      <c r="E3" s="4" t="inlineStr">
        <is>
          <t>EV/EBITDA</t>
        </is>
      </c>
      <c r="F3" s="4" t="inlineStr">
        <is>
          <t>EV/Revenue</t>
        </is>
      </c>
      <c r="G3" s="4" t="inlineStr">
        <is>
          <t>來源旗標</t>
        </is>
      </c>
    </row>
    <row r="4">
      <c r="A4" s="53" t="inlineStr">
        <is>
          <t>2026-03</t>
        </is>
      </c>
      <c r="B4" s="52" t="inlineStr">
        <is>
          <t>Ecolab</t>
        </is>
      </c>
      <c r="C4" s="55" t="inlineStr">
        <is>
          <t>CoolIT Systems</t>
        </is>
      </c>
      <c r="D4" s="53" t="inlineStr">
        <is>
          <t>$4.75bn</t>
        </is>
      </c>
      <c r="E4" s="53" t="inlineStr">
        <is>
          <t>29x NTM / 24x'27E</t>
        </is>
      </c>
      <c r="F4" s="53" t="inlineStr">
        <is>
          <t>~8.6x</t>
        </is>
      </c>
      <c r="G4" s="53" t="inlineStr">
        <is>
          <t>揭露/估</t>
        </is>
      </c>
    </row>
    <row r="5">
      <c r="A5" s="51" t="inlineStr">
        <is>
          <t>2025-12</t>
        </is>
      </c>
      <c r="B5" s="50" t="inlineStr">
        <is>
          <t>Eaton</t>
        </is>
      </c>
      <c r="C5" s="5" t="inlineStr">
        <is>
          <t>Boyd Thermal</t>
        </is>
      </c>
      <c r="D5" s="51" t="inlineStr">
        <is>
          <t>$9.5bn</t>
        </is>
      </c>
      <c r="E5" s="51" t="inlineStr">
        <is>
          <t>22.5x '26E</t>
        </is>
      </c>
      <c r="F5" s="51" t="inlineStr">
        <is>
          <t>~5.6x</t>
        </is>
      </c>
      <c r="G5" s="51" t="inlineStr">
        <is>
          <t>揭露/估</t>
        </is>
      </c>
    </row>
    <row r="6">
      <c r="A6" s="53" t="inlineStr">
        <is>
          <t>2024-10</t>
        </is>
      </c>
      <c r="B6" s="52" t="inlineStr">
        <is>
          <t>Schneider</t>
        </is>
      </c>
      <c r="C6" s="55" t="inlineStr">
        <is>
          <t>Motivair(75%)</t>
        </is>
      </c>
      <c r="D6" s="53" t="inlineStr">
        <is>
          <t>$0.85bn</t>
        </is>
      </c>
      <c r="E6" s="53" t="inlineStr">
        <is>
          <t>n/a</t>
        </is>
      </c>
      <c r="F6" s="53" t="inlineStr">
        <is>
          <t>中個位數(rev)</t>
        </is>
      </c>
      <c r="G6" s="53" t="inlineStr">
        <is>
          <t>揭露(質化)</t>
        </is>
      </c>
    </row>
    <row r="7">
      <c r="A7" s="51" t="inlineStr">
        <is>
          <t>2025-11</t>
        </is>
      </c>
      <c r="B7" s="50" t="inlineStr">
        <is>
          <t>Vertiv</t>
        </is>
      </c>
      <c r="C7" s="5" t="inlineStr">
        <is>
          <t>PurgeRite</t>
        </is>
      </c>
      <c r="D7" s="51" t="inlineStr">
        <is>
          <t>~$1.0bn</t>
        </is>
      </c>
      <c r="E7" s="51" t="inlineStr">
        <is>
          <t>~10x '26E(含綜效)</t>
        </is>
      </c>
      <c r="F7" s="51" t="inlineStr">
        <is>
          <t>n/a</t>
        </is>
      </c>
      <c r="G7" s="51" t="inlineStr">
        <is>
          <t>揭露</t>
        </is>
      </c>
    </row>
    <row r="8">
      <c r="A8" s="53" t="inlineStr">
        <is>
          <t>2023-04</t>
        </is>
      </c>
      <c r="B8" s="52" t="inlineStr">
        <is>
          <t>Carrier</t>
        </is>
      </c>
      <c r="C8" s="55" t="inlineStr">
        <is>
          <t>Viessmann(參考)</t>
        </is>
      </c>
      <c r="D8" s="53" t="inlineStr">
        <is>
          <t>~$13bn</t>
        </is>
      </c>
      <c r="E8" s="53" t="inlineStr">
        <is>
          <t>~13x(綜效)</t>
        </is>
      </c>
      <c r="F8" s="53" t="inlineStr">
        <is>
          <t>~3.0x</t>
        </is>
      </c>
      <c r="G8" s="53" t="inlineStr">
        <is>
          <t>揭露(非DC)</t>
        </is>
      </c>
    </row>
    <row r="9">
      <c r="A9" s="51" t="inlineStr">
        <is>
          <t>2025-03</t>
        </is>
      </c>
      <c r="B9" s="50" t="inlineStr">
        <is>
          <t>nVent</t>
        </is>
      </c>
      <c r="C9" s="5" t="inlineStr">
        <is>
          <t>Avail EPG(電力)</t>
        </is>
      </c>
      <c r="D9" s="51" t="inlineStr">
        <is>
          <t>$0.975bn</t>
        </is>
      </c>
      <c r="E9" s="51" t="inlineStr">
        <is>
          <t>n/a</t>
        </is>
      </c>
      <c r="F9" s="51" t="inlineStr">
        <is>
          <t>~2.6x</t>
        </is>
      </c>
      <c r="G9" s="51" t="inlineStr">
        <is>
          <t>估</t>
        </is>
      </c>
    </row>
    <row r="10">
      <c r="A10" s="53" t="inlineStr">
        <is>
          <t>2023</t>
        </is>
      </c>
      <c r="B10" s="52" t="inlineStr">
        <is>
          <t>KKR</t>
        </is>
      </c>
      <c r="C10" s="55" t="inlineStr">
        <is>
          <t>CoolIT(前手)</t>
        </is>
      </c>
      <c r="D10" s="53" t="inlineStr">
        <is>
          <t>未揭露</t>
        </is>
      </c>
      <c r="E10" s="53" t="inlineStr">
        <is>
          <t>n/a</t>
        </is>
      </c>
      <c r="F10" s="53" t="inlineStr">
        <is>
          <t>n/a</t>
        </is>
      </c>
      <c r="G10" s="53" t="inlineStr">
        <is>
          <t>KKR 出場 ~15x</t>
        </is>
      </c>
    </row>
    <row r="12">
      <c r="A12" s="54" t="inlineStr">
        <is>
          <t>純散熱控制交易 EV/EBITDA 區間 ~10x–29x(前瞻);套 20–28x 於 VRT FY26E EBITDA → 每股約 $158–$223。</t>
        </is>
      </c>
      <c r="B12" s="13" t="n"/>
      <c r="C12" s="13" t="n"/>
      <c r="D12" s="13" t="n"/>
      <c r="E12" s="13" t="n"/>
      <c r="F12" s="13" t="n"/>
      <c r="G12" s="14" t="n"/>
    </row>
    <row r="13">
      <c r="A13" s="9" t="inlineStr">
        <is>
          <t>注意:CoolIT/Boyd 為『前瞻』倍數且標的成長更快、規模更小;VRT 規模大、成長較緩,直接類比會高估。Carrier/Viessmann 為 HVAC,僅作規模參考。</t>
        </is>
      </c>
      <c r="B13" s="13" t="n"/>
      <c r="C13" s="13" t="n"/>
      <c r="D13" s="13" t="n"/>
      <c r="E13" s="13" t="n"/>
      <c r="F13" s="13" t="n"/>
      <c r="G13" s="14" t="n"/>
    </row>
  </sheetData>
  <mergeCells count="3">
    <mergeCell ref="A13:G13"/>
    <mergeCell ref="A1:G1"/>
    <mergeCell ref="A12:G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7" t="inlineStr">
        <is>
          <t>DCF 估值彙總（詳見 Vertiv_VRT_DCF.xlsx）</t>
        </is>
      </c>
    </row>
    <row r="3">
      <c r="A3" s="3" t="inlineStr">
        <is>
          <t>方法</t>
        </is>
      </c>
      <c r="B3" s="4" t="inlineStr">
        <is>
          <t>WACC</t>
        </is>
      </c>
      <c r="C3" s="4" t="inlineStr">
        <is>
          <t>終值</t>
        </is>
      </c>
      <c r="D3" s="4" t="inlineStr">
        <is>
          <t>隱含每股</t>
        </is>
      </c>
      <c r="E3" s="4" t="inlineStr">
        <is>
          <t>備註</t>
        </is>
      </c>
    </row>
    <row r="4">
      <c r="A4" s="52" t="inlineStr">
        <is>
          <t>永續成長法</t>
        </is>
      </c>
      <c r="B4" s="53" t="inlineStr">
        <is>
          <t>11.4%</t>
        </is>
      </c>
      <c r="C4" s="53" t="inlineStr">
        <is>
          <t>g=3.5%</t>
        </is>
      </c>
      <c r="D4" s="53" t="inlineStr">
        <is>
          <t>~$102</t>
        </is>
      </c>
      <c r="E4" s="52" t="inlineStr">
        <is>
          <t>紀律性;終值占EV偏高</t>
        </is>
      </c>
    </row>
    <row r="5">
      <c r="A5" s="50" t="inlineStr">
        <is>
          <t>出場倍數法</t>
        </is>
      </c>
      <c r="B5" s="51" t="inlineStr">
        <is>
          <t>11.4%</t>
        </is>
      </c>
      <c r="C5" s="51" t="inlineStr">
        <is>
          <t>22x EBITDA</t>
        </is>
      </c>
      <c r="D5" s="51" t="inlineStr">
        <is>
          <t>~$245</t>
        </is>
      </c>
      <c r="E5" s="50" t="inlineStr">
        <is>
          <t>較寬鬆</t>
        </is>
      </c>
    </row>
    <row r="6">
      <c r="A6" s="48" t="inlineStr">
        <is>
          <t>區間</t>
        </is>
      </c>
      <c r="B6" s="49" t="inlineStr">
        <is>
          <t>—</t>
        </is>
      </c>
      <c r="C6" s="49" t="inlineStr">
        <is>
          <t>—</t>
        </is>
      </c>
      <c r="D6" s="49" t="inlineStr">
        <is>
          <t>$100–$245</t>
        </is>
      </c>
      <c r="E6" s="48" t="inlineStr">
        <is>
          <t>DCF 中樞遠低於現價 $320</t>
        </is>
      </c>
    </row>
    <row r="8">
      <c r="A8" s="54" t="inlineStr">
        <is>
          <t>結論:以紀律性 DCF,VRT 內在價值中樞約 $100–$245,顯著低於現價 $320——市場已 price in 高度完美成長。</t>
        </is>
      </c>
      <c r="B8" s="13" t="n"/>
      <c r="C8" s="13" t="n"/>
      <c r="D8" s="13" t="n"/>
      <c r="E8" s="14" t="n"/>
    </row>
  </sheetData>
  <mergeCells count="2">
    <mergeCell ref="A1:E1"/>
    <mergeCell ref="A8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47" t="inlineStr">
        <is>
          <t>綜效 Ability-to-Pay 與 IRR 敏感度（連結 LBO 分頁）</t>
        </is>
      </c>
    </row>
    <row r="2">
      <c r="A2" s="16" t="inlineStr">
        <is>
          <t>US$bn(每股除外)| 綠=連結 LBO | 假設:出場淨負債保守維持基準(不計綜效額外掃債)</t>
        </is>
      </c>
    </row>
    <row r="4">
      <c r="A4" s="17" t="inlineStr">
        <is>
          <t>綜效 Ability-to-Pay（@ 20% IRR,出場 22x）</t>
        </is>
      </c>
      <c r="B4" s="18" t="n"/>
      <c r="C4" s="18" t="n"/>
      <c r="D4" s="18" t="n"/>
      <c r="E4" s="18" t="n"/>
      <c r="F4" s="18" t="n"/>
    </row>
    <row r="5">
      <c r="A5" s="34" t="inlineStr">
        <is>
          <t>綜效(run-rate, $bn)</t>
        </is>
      </c>
      <c r="B5" s="34" t="inlineStr">
        <is>
          <t>出場EBITDA</t>
        </is>
      </c>
      <c r="C5" s="34" t="inlineStr">
        <is>
          <t>出場股權</t>
        </is>
      </c>
      <c r="D5" s="34" t="inlineStr">
        <is>
          <t>進場股權@20%</t>
        </is>
      </c>
      <c r="E5" s="34" t="inlineStr">
        <is>
          <t>進場EV</t>
        </is>
      </c>
      <c r="F5" s="34" t="inlineStr">
        <is>
          <t>每股 $</t>
        </is>
      </c>
    </row>
    <row r="6">
      <c r="A6" s="56" t="n">
        <v>0</v>
      </c>
      <c r="B6" s="36">
        <f>LBO!$H$21+A6</f>
        <v/>
      </c>
      <c r="C6" s="36">
        <f>B6*LBO!$B$14-LBO!$H$31</f>
        <v/>
      </c>
      <c r="D6" s="36">
        <f>C6/(1+0.2)^5</f>
        <v/>
      </c>
      <c r="E6" s="36">
        <f>D6+LBO!$H$6</f>
        <v/>
      </c>
      <c r="F6" s="37">
        <f>(E6-LBO!$B$8)/LBO!$B$7</f>
        <v/>
      </c>
    </row>
    <row r="7">
      <c r="A7" s="56" t="n">
        <v>0.5</v>
      </c>
      <c r="B7" s="36">
        <f>LBO!$H$21+A7</f>
        <v/>
      </c>
      <c r="C7" s="36">
        <f>B7*LBO!$B$14-LBO!$H$31</f>
        <v/>
      </c>
      <c r="D7" s="36">
        <f>C7/(1+0.2)^5</f>
        <v/>
      </c>
      <c r="E7" s="36">
        <f>D7+LBO!$H$6</f>
        <v/>
      </c>
      <c r="F7" s="37">
        <f>(E7-LBO!$B$8)/LBO!$B$7</f>
        <v/>
      </c>
    </row>
    <row r="8">
      <c r="A8" s="56" t="n">
        <v>1</v>
      </c>
      <c r="B8" s="36">
        <f>LBO!$H$21+A8</f>
        <v/>
      </c>
      <c r="C8" s="36">
        <f>B8*LBO!$B$14-LBO!$H$31</f>
        <v/>
      </c>
      <c r="D8" s="36">
        <f>C8/(1+0.2)^5</f>
        <v/>
      </c>
      <c r="E8" s="36">
        <f>D8+LBO!$H$6</f>
        <v/>
      </c>
      <c r="F8" s="38">
        <f>(E8-LBO!$B$8)/LBO!$B$7</f>
        <v/>
      </c>
    </row>
    <row r="9">
      <c r="A9" s="56" t="n">
        <v>1.5</v>
      </c>
      <c r="B9" s="36">
        <f>LBO!$H$21+A9</f>
        <v/>
      </c>
      <c r="C9" s="36">
        <f>B9*LBO!$B$14-LBO!$H$31</f>
        <v/>
      </c>
      <c r="D9" s="36">
        <f>C9/(1+0.2)^5</f>
        <v/>
      </c>
      <c r="E9" s="36">
        <f>D9+LBO!$H$6</f>
        <v/>
      </c>
      <c r="F9" s="37">
        <f>(E9-LBO!$B$8)/LBO!$B$7</f>
        <v/>
      </c>
    </row>
    <row r="10">
      <c r="A10" s="56" t="n">
        <v>2</v>
      </c>
      <c r="B10" s="36">
        <f>LBO!$H$21+A10</f>
        <v/>
      </c>
      <c r="C10" s="36">
        <f>B10*LBO!$B$14-LBO!$H$31</f>
        <v/>
      </c>
      <c r="D10" s="36">
        <f>C10/(1+0.2)^5</f>
        <v/>
      </c>
      <c r="E10" s="36">
        <f>D10+LBO!$H$6</f>
        <v/>
      </c>
      <c r="F10" s="37">
        <f>(E10-LBO!$B$8)/LBO!$B$7</f>
        <v/>
      </c>
    </row>
    <row r="12">
      <c r="A12" s="54" t="inlineStr">
        <is>
          <t>解讀:即使綜效 $2.0bn(≈進場 EBITDA 的 64%),@20% IRR 的進場價仍僅 ~$243,低於現價 $320。</t>
        </is>
      </c>
      <c r="B12" s="13" t="n"/>
      <c r="C12" s="13" t="n"/>
      <c r="D12" s="13" t="n"/>
      <c r="E12" s="13" t="n"/>
      <c r="F12" s="14" t="n"/>
    </row>
    <row r="13">
      <c r="A13" s="54" t="inlineStr">
        <is>
          <t>反推:要在 20% IRR 下 justify $320,需 run-rate 綜效約 $5.3bn(≈進場 EBITDA 1.7 倍)——不切實際。</t>
        </is>
      </c>
      <c r="B13" s="13" t="n"/>
      <c r="C13" s="13" t="n"/>
      <c r="D13" s="13" t="n"/>
      <c r="E13" s="13" t="n"/>
      <c r="F13" s="14" t="n"/>
    </row>
    <row r="15">
      <c r="A15" s="17" t="inlineStr">
        <is>
          <t>IRR 敏感度:報價/股 × 出場 EV/EBITDA（中心=基準 $400 / 22x）</t>
        </is>
      </c>
      <c r="B15" s="18" t="n"/>
      <c r="C15" s="18" t="n"/>
      <c r="D15" s="18" t="n"/>
      <c r="E15" s="18" t="n"/>
      <c r="F15" s="18" t="n"/>
      <c r="G15" s="18" t="n"/>
      <c r="H15" s="18" t="n"/>
    </row>
    <row r="16">
      <c r="A16" s="34" t="inlineStr">
        <is>
          <t>報價↓ / 倍數→</t>
        </is>
      </c>
      <c r="B16" s="57" t="n">
        <v>18</v>
      </c>
      <c r="C16" s="57" t="n">
        <v>20</v>
      </c>
      <c r="D16" s="57" t="n">
        <v>22</v>
      </c>
      <c r="E16" s="57" t="n">
        <v>24</v>
      </c>
      <c r="F16" s="57" t="n">
        <v>26</v>
      </c>
    </row>
    <row r="17">
      <c r="A17" s="58" t="n">
        <v>320</v>
      </c>
      <c r="B17" s="59">
        <f>((18*LBO!$H$21-LBO!$H$31)/($A17*LBO!$B$7*(1+LBO!$B$13)+LBO!$B$8-LBO!$H$6))^(1/5)-1</f>
        <v/>
      </c>
      <c r="C17" s="60">
        <f>((20*LBO!$H$21-LBO!$H$31)/($A17*LBO!$B$7*(1+LBO!$B$13)+LBO!$B$8-LBO!$H$6))^(1/5)-1</f>
        <v/>
      </c>
      <c r="D17" s="59">
        <f>((22*LBO!$H$21-LBO!$H$31)/($A17*LBO!$B$7*(1+LBO!$B$13)+LBO!$B$8-LBO!$H$6))^(1/5)-1</f>
        <v/>
      </c>
      <c r="E17" s="60">
        <f>((24*LBO!$H$21-LBO!$H$31)/($A17*LBO!$B$7*(1+LBO!$B$13)+LBO!$B$8-LBO!$H$6))^(1/5)-1</f>
        <v/>
      </c>
      <c r="F17" s="59">
        <f>((26*LBO!$H$21-LBO!$H$31)/($A17*LBO!$B$7*(1+LBO!$B$13)+LBO!$B$8-LBO!$H$6))^(1/5)-1</f>
        <v/>
      </c>
    </row>
    <row r="18">
      <c r="A18" s="58" t="n">
        <v>360</v>
      </c>
      <c r="B18" s="60">
        <f>((18*LBO!$H$21-LBO!$H$31)/($A18*LBO!$B$7*(1+LBO!$B$13)+LBO!$B$8-LBO!$H$6))^(1/5)-1</f>
        <v/>
      </c>
      <c r="C18" s="59">
        <f>((20*LBO!$H$21-LBO!$H$31)/($A18*LBO!$B$7*(1+LBO!$B$13)+LBO!$B$8-LBO!$H$6))^(1/5)-1</f>
        <v/>
      </c>
      <c r="D18" s="60">
        <f>((22*LBO!$H$21-LBO!$H$31)/($A18*LBO!$B$7*(1+LBO!$B$13)+LBO!$B$8-LBO!$H$6))^(1/5)-1</f>
        <v/>
      </c>
      <c r="E18" s="59">
        <f>((24*LBO!$H$21-LBO!$H$31)/($A18*LBO!$B$7*(1+LBO!$B$13)+LBO!$B$8-LBO!$H$6))^(1/5)-1</f>
        <v/>
      </c>
      <c r="F18" s="60">
        <f>((26*LBO!$H$21-LBO!$H$31)/($A18*LBO!$B$7*(1+LBO!$B$13)+LBO!$B$8-LBO!$H$6))^(1/5)-1</f>
        <v/>
      </c>
    </row>
    <row r="19">
      <c r="A19" s="58" t="n">
        <v>400</v>
      </c>
      <c r="B19" s="59">
        <f>((18*LBO!$H$21-LBO!$H$31)/($A19*LBO!$B$7*(1+LBO!$B$13)+LBO!$B$8-LBO!$H$6))^(1/5)-1</f>
        <v/>
      </c>
      <c r="C19" s="60">
        <f>((20*LBO!$H$21-LBO!$H$31)/($A19*LBO!$B$7*(1+LBO!$B$13)+LBO!$B$8-LBO!$H$6))^(1/5)-1</f>
        <v/>
      </c>
      <c r="D19" s="61">
        <f>((22*LBO!$H$21-LBO!$H$31)/($A19*LBO!$B$7*(1+LBO!$B$13)+LBO!$B$8-LBO!$H$6))^(1/5)-1</f>
        <v/>
      </c>
      <c r="E19" s="60">
        <f>((24*LBO!$H$21-LBO!$H$31)/($A19*LBO!$B$7*(1+LBO!$B$13)+LBO!$B$8-LBO!$H$6))^(1/5)-1</f>
        <v/>
      </c>
      <c r="F19" s="59">
        <f>((26*LBO!$H$21-LBO!$H$31)/($A19*LBO!$B$7*(1+LBO!$B$13)+LBO!$B$8-LBO!$H$6))^(1/5)-1</f>
        <v/>
      </c>
    </row>
    <row r="20">
      <c r="A20" s="58" t="n">
        <v>440</v>
      </c>
      <c r="B20" s="60">
        <f>((18*LBO!$H$21-LBO!$H$31)/($A20*LBO!$B$7*(1+LBO!$B$13)+LBO!$B$8-LBO!$H$6))^(1/5)-1</f>
        <v/>
      </c>
      <c r="C20" s="59">
        <f>((20*LBO!$H$21-LBO!$H$31)/($A20*LBO!$B$7*(1+LBO!$B$13)+LBO!$B$8-LBO!$H$6))^(1/5)-1</f>
        <v/>
      </c>
      <c r="D20" s="60">
        <f>((22*LBO!$H$21-LBO!$H$31)/($A20*LBO!$B$7*(1+LBO!$B$13)+LBO!$B$8-LBO!$H$6))^(1/5)-1</f>
        <v/>
      </c>
      <c r="E20" s="59">
        <f>((24*LBO!$H$21-LBO!$H$31)/($A20*LBO!$B$7*(1+LBO!$B$13)+LBO!$B$8-LBO!$H$6))^(1/5)-1</f>
        <v/>
      </c>
      <c r="F20" s="60">
        <f>((26*LBO!$H$21-LBO!$H$31)/($A20*LBO!$B$7*(1+LBO!$B$13)+LBO!$B$8-LBO!$H$6))^(1/5)-1</f>
        <v/>
      </c>
    </row>
    <row r="21">
      <c r="A21" s="58" t="n">
        <v>480</v>
      </c>
      <c r="B21" s="59">
        <f>((18*LBO!$H$21-LBO!$H$31)/($A21*LBO!$B$7*(1+LBO!$B$13)+LBO!$B$8-LBO!$H$6))^(1/5)-1</f>
        <v/>
      </c>
      <c r="C21" s="60">
        <f>((20*LBO!$H$21-LBO!$H$31)/($A21*LBO!$B$7*(1+LBO!$B$13)+LBO!$B$8-LBO!$H$6))^(1/5)-1</f>
        <v/>
      </c>
      <c r="D21" s="59">
        <f>((22*LBO!$H$21-LBO!$H$31)/($A21*LBO!$B$7*(1+LBO!$B$13)+LBO!$B$8-LBO!$H$6))^(1/5)-1</f>
        <v/>
      </c>
      <c r="E21" s="60">
        <f>((24*LBO!$H$21-LBO!$H$31)/($A21*LBO!$B$7*(1+LBO!$B$13)+LBO!$B$8-LBO!$H$6))^(1/5)-1</f>
        <v/>
      </c>
      <c r="F21" s="59">
        <f>((26*LBO!$H$21-LBO!$H$31)/($A21*LBO!$B$7*(1+LBO!$B$13)+LBO!$B$8-LBO!$H$6))^(1/5)-1</f>
        <v/>
      </c>
    </row>
    <row r="23">
      <c r="A23" s="9" t="inlineStr">
        <is>
          <t>中心格($400/22x)應≈LBO 分頁 IRR(~0.7%)。即便出場 26x + 報價降至 $320,IRR 仍遠低於 PE 門檻(~20–25%)。</t>
        </is>
      </c>
      <c r="B23" s="42" t="n"/>
      <c r="C23" s="42" t="n"/>
      <c r="D23" s="42" t="n"/>
      <c r="E23" s="42" t="n"/>
      <c r="F23" s="42" t="n"/>
      <c r="G23" s="42" t="n"/>
      <c r="H23" s="43" t="n"/>
    </row>
    <row r="24">
      <c r="A24" s="44" t="n"/>
      <c r="B24" s="45" t="n"/>
      <c r="C24" s="45" t="n"/>
      <c r="D24" s="45" t="n"/>
      <c r="E24" s="45" t="n"/>
      <c r="F24" s="45" t="n"/>
      <c r="G24" s="45" t="n"/>
      <c r="H24" s="46" t="n"/>
    </row>
  </sheetData>
  <mergeCells count="7">
    <mergeCell ref="A15:H15"/>
    <mergeCell ref="A13:F13"/>
    <mergeCell ref="A2:H2"/>
    <mergeCell ref="A23:H24"/>
    <mergeCell ref="A12:F12"/>
    <mergeCell ref="A4:F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2026-06-22T07:19:31Z</dcterms:created>
  <dcterms:modified xmlns:dcterms="http://purl.org/dc/terms/" xmlns:xsi="http://www.w3.org/2001/XMLSchema-instance" xsi:type="dcterms:W3CDTF">2026-06-22T07:19:31Z</dcterms:modified>
</cp:coreProperties>
</file>