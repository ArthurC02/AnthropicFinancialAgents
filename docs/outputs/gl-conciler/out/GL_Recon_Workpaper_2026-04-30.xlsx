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 Analysis" sheetId="1" state="visible" r:id="rId1"/>
    <sheet xmlns:r="http://schemas.openxmlformats.org/officeDocument/2006/relationships" name="Recon" sheetId="2" state="visible" r:id="rId2"/>
    <sheet xmlns:r="http://schemas.openxmlformats.org/officeDocument/2006/relationships" name="Esca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color rgb="00000000"/>
      <sz val="8"/>
    </font>
    <font>
      <name val="Microsoft JhengHei"/>
      <b val="1"/>
      <color rgb="00FFFFFF"/>
      <sz val="9"/>
    </font>
    <font>
      <name val="Microsoft JhengHei"/>
      <b val="1"/>
      <color rgb="00000000"/>
      <sz val="9"/>
    </font>
    <font>
      <name val="Microsoft JhengHei"/>
      <color rgb="00000000"/>
      <sz val="9"/>
    </font>
    <font>
      <name val="Microsoft JhengHei"/>
      <color rgb="000000FF"/>
      <sz val="9"/>
    </font>
    <font>
      <name val="Microsoft JhengHei"/>
      <b val="1"/>
      <color rgb="000000FF"/>
      <sz val="9"/>
    </font>
    <font>
      <name val="Microsoft JhengHei"/>
      <b val="1"/>
      <color rgb="00000000"/>
      <sz val="10"/>
    </font>
    <font>
      <name val="Microsoft JhengHei"/>
      <b val="1"/>
      <color rgb="00FFFFFF"/>
      <sz val="12"/>
    </font>
    <font>
      <name val="Microsoft JhengHe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  <border>
      <left/>
      <right/>
      <top style="thin">
        <color rgb="009BAFC4"/>
      </top>
      <bottom/>
      <diagonal/>
    </border>
    <border>
      <left/>
      <right style="thin">
        <color rgb="009BAFC4"/>
      </right>
      <top style="thin">
        <color rgb="009BAFC4"/>
      </top>
      <bottom/>
      <diagonal/>
    </border>
    <border>
      <left/>
      <right style="thin">
        <color rgb="009BAFC4"/>
      </right>
      <top style="thin">
        <color rgb="009BAFC4"/>
      </top>
      <bottom style="thin">
        <color rgb="009BAFC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164" fontId="8" fillId="6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4" customWidth="1" min="3" max="3"/>
    <col width="12" customWidth="1" min="4" max="4"/>
    <col width="40" customWidth="1" min="5" max="5"/>
  </cols>
  <sheetData>
    <row r="1">
      <c r="A1" s="1" t="inlineStr">
        <is>
          <t>差異拆解與獨立複核 Break Analysis</t>
        </is>
      </c>
    </row>
    <row r="3">
      <c r="A3" s="2" t="inlineStr">
        <is>
          <t>項目</t>
        </is>
      </c>
      <c r="C3" s="3" t="inlineStr">
        <is>
          <t>金額</t>
        </is>
      </c>
      <c r="D3" s="3" t="inlineStr">
        <is>
          <t>類型</t>
        </is>
      </c>
      <c r="E3" s="2" t="inlineStr">
        <is>
          <t>佐證/處理</t>
        </is>
      </c>
    </row>
    <row r="4">
      <c r="A4" s="4" t="inlineStr">
        <is>
          <t>GL 總計</t>
        </is>
      </c>
      <c r="B4" s="5" t="n"/>
      <c r="C4" s="6">
        <f>Recon!F14</f>
        <v/>
      </c>
    </row>
    <row r="5">
      <c r="A5" s="4" t="inlineStr">
        <is>
          <t>子帳 總計</t>
        </is>
      </c>
      <c r="B5" s="5" t="n"/>
      <c r="C5" s="6">
        <f>Recon!G14</f>
        <v/>
      </c>
    </row>
    <row r="6">
      <c r="A6" s="4" t="inlineStr">
        <is>
          <t>總差異(GL−子帳)</t>
        </is>
      </c>
      <c r="B6" s="5" t="n"/>
      <c r="C6" s="6">
        <f>C4-C5</f>
        <v/>
      </c>
      <c r="E6" s="7">
        <f> MV差合計</f>
        <v/>
      </c>
    </row>
    <row r="8">
      <c r="A8" s="8" t="inlineStr">
        <is>
          <t>FI-GB123</t>
        </is>
      </c>
      <c r="B8" s="5" t="n"/>
      <c r="C8" s="9">
        <f>Recon!H10</f>
        <v/>
      </c>
      <c r="D8" s="10" t="inlineStr">
        <is>
          <t>誤報-時間差</t>
        </is>
      </c>
      <c r="E8" s="7" t="inlineStr">
        <is>
          <t>TRD-9001 未交割買單,5/2 交割後消除</t>
        </is>
      </c>
    </row>
    <row r="9">
      <c r="A9" s="8" t="inlineStr">
        <is>
          <t>FI-BUND</t>
        </is>
      </c>
      <c r="B9" s="5" t="n"/>
      <c r="C9" s="9">
        <f>Recon!H9</f>
        <v/>
      </c>
      <c r="D9" s="10" t="inlineStr">
        <is>
          <t>誤報-FX</t>
        </is>
      </c>
      <c r="E9" s="7" t="inlineStr">
        <is>
          <t>0.003% &lt; 0.05% 容差</t>
        </is>
      </c>
    </row>
    <row r="10">
      <c r="A10" s="8" t="inlineStr">
        <is>
          <t>EQ-SPY</t>
        </is>
      </c>
      <c r="B10" s="5" t="n"/>
      <c r="C10" s="9">
        <f>Recon!H8</f>
        <v/>
      </c>
      <c r="D10" s="10" t="inlineStr">
        <is>
          <t>誤報-重分類</t>
        </is>
      </c>
      <c r="E10" s="7" t="inlineStr">
        <is>
          <t>僅分類欄不同,Qty/MV 一致</t>
        </is>
      </c>
    </row>
    <row r="11">
      <c r="A11" s="4" t="inlineStr">
        <is>
          <t>已解釋小計</t>
        </is>
      </c>
      <c r="B11" s="5" t="n"/>
      <c r="C11" s="6">
        <f>Recon!K14</f>
        <v/>
      </c>
      <c r="E11" s="7" t="inlineStr">
        <is>
          <t>(時間差+FX+重分類)</t>
        </is>
      </c>
    </row>
    <row r="13">
      <c r="A13" s="8" t="inlineStr">
        <is>
          <t>EQ-VRT</t>
        </is>
      </c>
      <c r="B13" s="5" t="n"/>
      <c r="C13" s="9">
        <f>Recon!H11</f>
        <v/>
      </c>
      <c r="D13" s="11" t="inlineStr">
        <is>
          <t>真實</t>
        </is>
      </c>
      <c r="E13" s="7" t="inlineStr">
        <is>
          <t>子帳多2,500股,疑GL漏記買單</t>
        </is>
      </c>
    </row>
    <row r="14">
      <c r="A14" s="8" t="inlineStr">
        <is>
          <t>FI-XYZ</t>
        </is>
      </c>
      <c r="B14" s="5" t="n"/>
      <c r="C14" s="9">
        <f>Recon!H12</f>
        <v/>
      </c>
      <c r="D14" s="11" t="inlineStr">
        <is>
          <t>真實</t>
        </is>
      </c>
      <c r="E14" s="7" t="inlineStr">
        <is>
          <t>GL多1,000,000面額,疑GL未沖處分</t>
        </is>
      </c>
    </row>
    <row r="15">
      <c r="A15" s="8" t="inlineStr">
        <is>
          <t>CA-USD</t>
        </is>
      </c>
      <c r="B15" s="5" t="n"/>
      <c r="C15" s="9">
        <f>Recon!H13</f>
        <v/>
      </c>
      <c r="D15" s="11" t="inlineStr">
        <is>
          <t>真實</t>
        </is>
      </c>
      <c r="E15" s="7" t="inlineStr">
        <is>
          <t>現金缺口600,000,查無佐證→升級</t>
        </is>
      </c>
    </row>
    <row r="16">
      <c r="A16" s="4" t="inlineStr">
        <is>
          <t>真實未解小計</t>
        </is>
      </c>
      <c r="B16" s="5" t="n"/>
      <c r="C16" s="6">
        <f>Recon!J14</f>
        <v/>
      </c>
      <c r="E16" s="7" t="inlineStr">
        <is>
          <t>需處理</t>
        </is>
      </c>
    </row>
    <row r="18">
      <c r="A18" s="4" t="inlineStr">
        <is>
          <t>檢查：已解釋+真實=總差異</t>
        </is>
      </c>
      <c r="B18" s="5" t="n"/>
      <c r="C18" s="12">
        <f>IF(ROUND(Recon!J14+Recon!K14-(C4-C5),0)=0,"✓ tie-out","✗")</f>
        <v/>
      </c>
    </row>
  </sheetData>
  <mergeCells count="13">
    <mergeCell ref="A4:B4"/>
    <mergeCell ref="A16:B16"/>
    <mergeCell ref="A15:B15"/>
    <mergeCell ref="A11:B11"/>
    <mergeCell ref="A10:B10"/>
    <mergeCell ref="A5:B5"/>
    <mergeCell ref="A13:B13"/>
    <mergeCell ref="A1:E1"/>
    <mergeCell ref="A14:B14"/>
    <mergeCell ref="A18:B18"/>
    <mergeCell ref="A9:B9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  <col width="13" customWidth="1" min="11" max="11"/>
  </cols>
  <sheetData>
    <row r="1" ht="24" customHeight="1">
      <c r="A1" s="13" t="inlineStr">
        <is>
          <t>GL ↔ 子帳 對帳 Reconciliation · Aurora Growth Fund III · 2026-04-30 (USD)</t>
        </is>
      </c>
    </row>
    <row r="2">
      <c r="A2" s="14" t="inlineStr">
        <is>
          <t>GL=交易日基礎 / 子帳=交割日基礎(custody,外來)。Category 為複核分類(藍字輸入);Real/Explained 由公式拆解。</t>
        </is>
      </c>
    </row>
    <row r="4">
      <c r="A4" s="2" t="inlineStr">
        <is>
          <t>Sec ID</t>
        </is>
      </c>
      <c r="B4" s="2" t="inlineStr">
        <is>
          <t>資產類別</t>
        </is>
      </c>
      <c r="C4" s="3" t="inlineStr">
        <is>
          <t>GL Qty</t>
        </is>
      </c>
      <c r="D4" s="3" t="inlineStr">
        <is>
          <t>Sub Qty</t>
        </is>
      </c>
      <c r="E4" s="3" t="inlineStr">
        <is>
          <t>Qty差</t>
        </is>
      </c>
      <c r="F4" s="3" t="inlineStr">
        <is>
          <t>GL MV</t>
        </is>
      </c>
      <c r="G4" s="3" t="inlineStr">
        <is>
          <t>Sub MV</t>
        </is>
      </c>
      <c r="H4" s="3" t="inlineStr">
        <is>
          <t>MV差(GL−Sub)</t>
        </is>
      </c>
      <c r="I4" s="3" t="inlineStr">
        <is>
          <t>Category</t>
        </is>
      </c>
      <c r="J4" s="3" t="inlineStr">
        <is>
          <t>真實break</t>
        </is>
      </c>
      <c r="K4" s="3" t="inlineStr">
        <is>
          <t>已解釋</t>
        </is>
      </c>
    </row>
    <row r="5">
      <c r="A5" s="15" t="inlineStr">
        <is>
          <t>EQ-AAPL</t>
        </is>
      </c>
      <c r="B5" s="16" t="inlineStr">
        <is>
          <t>Equity</t>
        </is>
      </c>
      <c r="C5" s="17" t="n">
        <v>50000</v>
      </c>
      <c r="D5" s="17" t="n">
        <v>50000</v>
      </c>
      <c r="E5" s="18">
        <f>C5-D5</f>
        <v/>
      </c>
      <c r="F5" s="17" t="n">
        <v>10000000</v>
      </c>
      <c r="G5" s="17" t="n">
        <v>10000000</v>
      </c>
      <c r="H5" s="19">
        <f>F5-G5</f>
        <v/>
      </c>
      <c r="I5" s="20" t="inlineStr">
        <is>
          <t>Match</t>
        </is>
      </c>
      <c r="J5" s="18">
        <f>IF(I5="REAL",H5,0)</f>
        <v/>
      </c>
      <c r="K5" s="18">
        <f>IF(AND(I5&lt;&gt;"REAL",I5&lt;&gt;"Match"),H5,0)</f>
        <v/>
      </c>
    </row>
    <row r="6">
      <c r="A6" s="15" t="inlineStr">
        <is>
          <t>EQ-MSFT</t>
        </is>
      </c>
      <c r="B6" s="16" t="inlineStr">
        <is>
          <t>Equity</t>
        </is>
      </c>
      <c r="C6" s="17" t="n">
        <v>20000</v>
      </c>
      <c r="D6" s="17" t="n">
        <v>20000</v>
      </c>
      <c r="E6" s="18">
        <f>C6-D6</f>
        <v/>
      </c>
      <c r="F6" s="17" t="n">
        <v>8000000</v>
      </c>
      <c r="G6" s="17" t="n">
        <v>8000000</v>
      </c>
      <c r="H6" s="19">
        <f>F6-G6</f>
        <v/>
      </c>
      <c r="I6" s="20" t="inlineStr">
        <is>
          <t>Match</t>
        </is>
      </c>
      <c r="J6" s="18">
        <f>IF(I6="REAL",H6,0)</f>
        <v/>
      </c>
      <c r="K6" s="18">
        <f>IF(AND(I6&lt;&gt;"REAL",I6&lt;&gt;"Match"),H6,0)</f>
        <v/>
      </c>
    </row>
    <row r="7">
      <c r="A7" s="15" t="inlineStr">
        <is>
          <t>EQ-NVDA</t>
        </is>
      </c>
      <c r="B7" s="16" t="inlineStr">
        <is>
          <t>Equity</t>
        </is>
      </c>
      <c r="C7" s="17" t="n">
        <v>10000</v>
      </c>
      <c r="D7" s="17" t="n">
        <v>10000</v>
      </c>
      <c r="E7" s="18">
        <f>C7-D7</f>
        <v/>
      </c>
      <c r="F7" s="17" t="n">
        <v>12000000</v>
      </c>
      <c r="G7" s="17" t="n">
        <v>12000000</v>
      </c>
      <c r="H7" s="19">
        <f>F7-G7</f>
        <v/>
      </c>
      <c r="I7" s="20" t="inlineStr">
        <is>
          <t>Match</t>
        </is>
      </c>
      <c r="J7" s="18">
        <f>IF(I7="REAL",H7,0)</f>
        <v/>
      </c>
      <c r="K7" s="18">
        <f>IF(AND(I7&lt;&gt;"REAL",I7&lt;&gt;"Match"),H7,0)</f>
        <v/>
      </c>
    </row>
    <row r="8">
      <c r="A8" s="15" t="inlineStr">
        <is>
          <t>EQ-SPY</t>
        </is>
      </c>
      <c r="B8" s="16" t="inlineStr">
        <is>
          <t>Equity</t>
        </is>
      </c>
      <c r="C8" s="17" t="n">
        <v>5000</v>
      </c>
      <c r="D8" s="17" t="n">
        <v>5000</v>
      </c>
      <c r="E8" s="18">
        <f>C8-D8</f>
        <v/>
      </c>
      <c r="F8" s="17" t="n">
        <v>2000000</v>
      </c>
      <c r="G8" s="17" t="n">
        <v>2000000</v>
      </c>
      <c r="H8" s="19">
        <f>F8-G8</f>
        <v/>
      </c>
      <c r="I8" s="21" t="inlineStr">
        <is>
          <t>FP-Reclass</t>
        </is>
      </c>
      <c r="J8" s="18">
        <f>IF(I8="REAL",H8,0)</f>
        <v/>
      </c>
      <c r="K8" s="22">
        <f>IF(AND(I8&lt;&gt;"REAL",I8&lt;&gt;"Match"),H8,0)</f>
        <v/>
      </c>
    </row>
    <row r="9">
      <c r="A9" s="15" t="inlineStr">
        <is>
          <t>FI-BUND</t>
        </is>
      </c>
      <c r="B9" s="16" t="inlineStr">
        <is>
          <t>Fixed Income</t>
        </is>
      </c>
      <c r="C9" s="17" t="n">
        <v>8333333</v>
      </c>
      <c r="D9" s="17" t="n">
        <v>8333333</v>
      </c>
      <c r="E9" s="18">
        <f>C9-D9</f>
        <v/>
      </c>
      <c r="F9" s="17" t="n">
        <v>9000000</v>
      </c>
      <c r="G9" s="17" t="n">
        <v>9000300</v>
      </c>
      <c r="H9" s="19">
        <f>F9-G9</f>
        <v/>
      </c>
      <c r="I9" s="21" t="inlineStr">
        <is>
          <t>FP-FX</t>
        </is>
      </c>
      <c r="J9" s="18">
        <f>IF(I9="REAL",H9,0)</f>
        <v/>
      </c>
      <c r="K9" s="22">
        <f>IF(AND(I9&lt;&gt;"REAL",I9&lt;&gt;"Match"),H9,0)</f>
        <v/>
      </c>
    </row>
    <row r="10">
      <c r="A10" s="15" t="inlineStr">
        <is>
          <t>FI-GB123</t>
        </is>
      </c>
      <c r="B10" s="16" t="inlineStr">
        <is>
          <t>Fixed Income</t>
        </is>
      </c>
      <c r="C10" s="17" t="n">
        <v>15500000</v>
      </c>
      <c r="D10" s="17" t="n">
        <v>15000000</v>
      </c>
      <c r="E10" s="18">
        <f>C10-D10</f>
        <v/>
      </c>
      <c r="F10" s="17" t="n">
        <v>15500000</v>
      </c>
      <c r="G10" s="17" t="n">
        <v>15000000</v>
      </c>
      <c r="H10" s="19">
        <f>F10-G10</f>
        <v/>
      </c>
      <c r="I10" s="21" t="inlineStr">
        <is>
          <t>FP-Timing</t>
        </is>
      </c>
      <c r="J10" s="18">
        <f>IF(I10="REAL",H10,0)</f>
        <v/>
      </c>
      <c r="K10" s="22">
        <f>IF(AND(I10&lt;&gt;"REAL",I10&lt;&gt;"Match"),H10,0)</f>
        <v/>
      </c>
    </row>
    <row r="11">
      <c r="A11" s="15" t="inlineStr">
        <is>
          <t>EQ-VRT</t>
        </is>
      </c>
      <c r="B11" s="16" t="inlineStr">
        <is>
          <t>Equity</t>
        </is>
      </c>
      <c r="C11" s="17" t="n">
        <v>50000</v>
      </c>
      <c r="D11" s="17" t="n">
        <v>52500</v>
      </c>
      <c r="E11" s="18">
        <f>C11-D11</f>
        <v/>
      </c>
      <c r="F11" s="17" t="n">
        <v>5000000</v>
      </c>
      <c r="G11" s="17" t="n">
        <v>5250000</v>
      </c>
      <c r="H11" s="19">
        <f>F11-G11</f>
        <v/>
      </c>
      <c r="I11" s="23" t="inlineStr">
        <is>
          <t>REAL</t>
        </is>
      </c>
      <c r="J11" s="24">
        <f>IF(I11="REAL",H11,0)</f>
        <v/>
      </c>
      <c r="K11" s="18">
        <f>IF(AND(I11&lt;&gt;"REAL",I11&lt;&gt;"Match"),H11,0)</f>
        <v/>
      </c>
    </row>
    <row r="12">
      <c r="A12" s="15" t="inlineStr">
        <is>
          <t>FI-XYZ</t>
        </is>
      </c>
      <c r="B12" s="16" t="inlineStr">
        <is>
          <t>Fixed Income</t>
        </is>
      </c>
      <c r="C12" s="17" t="n">
        <v>20000000</v>
      </c>
      <c r="D12" s="17" t="n">
        <v>19000000</v>
      </c>
      <c r="E12" s="18">
        <f>C12-D12</f>
        <v/>
      </c>
      <c r="F12" s="17" t="n">
        <v>20000000</v>
      </c>
      <c r="G12" s="17" t="n">
        <v>19000000</v>
      </c>
      <c r="H12" s="19">
        <f>F12-G12</f>
        <v/>
      </c>
      <c r="I12" s="23" t="inlineStr">
        <is>
          <t>REAL</t>
        </is>
      </c>
      <c r="J12" s="24">
        <f>IF(I12="REAL",H12,0)</f>
        <v/>
      </c>
      <c r="K12" s="18">
        <f>IF(AND(I12&lt;&gt;"REAL",I12&lt;&gt;"Match"),H12,0)</f>
        <v/>
      </c>
    </row>
    <row r="13">
      <c r="A13" s="15" t="inlineStr">
        <is>
          <t>CA-USD</t>
        </is>
      </c>
      <c r="B13" s="16" t="inlineStr">
        <is>
          <t>Cash</t>
        </is>
      </c>
      <c r="C13" s="17" t="n">
        <v>0</v>
      </c>
      <c r="D13" s="17" t="n">
        <v>0</v>
      </c>
      <c r="E13" s="18">
        <f>C13-D13</f>
        <v/>
      </c>
      <c r="F13" s="17" t="n">
        <v>3000000</v>
      </c>
      <c r="G13" s="17" t="n">
        <v>2400000</v>
      </c>
      <c r="H13" s="19">
        <f>F13-G13</f>
        <v/>
      </c>
      <c r="I13" s="23" t="inlineStr">
        <is>
          <t>REAL</t>
        </is>
      </c>
      <c r="J13" s="24">
        <f>IF(I13="REAL",H13,0)</f>
        <v/>
      </c>
      <c r="K13" s="18">
        <f>IF(AND(I13&lt;&gt;"REAL",I13&lt;&gt;"Match"),H13,0)</f>
        <v/>
      </c>
    </row>
    <row r="14">
      <c r="A14" s="4" t="inlineStr">
        <is>
          <t>總計 Total</t>
        </is>
      </c>
      <c r="F14" s="6">
        <f>SUM(F5:F13)</f>
        <v/>
      </c>
      <c r="G14" s="6">
        <f>SUM(G5:G13)</f>
        <v/>
      </c>
      <c r="H14" s="6">
        <f>SUM(H5:H13)</f>
        <v/>
      </c>
      <c r="J14" s="6">
        <f>SUM(J5:J13)</f>
        <v/>
      </c>
      <c r="K14" s="6">
        <f>SUM(K5:K13)</f>
        <v/>
      </c>
    </row>
    <row r="16">
      <c r="A16" s="25" t="inlineStr">
        <is>
          <t>檢查 1：MV差合計 = GL − 子帳</t>
        </is>
      </c>
      <c r="H16" s="26">
        <f>IF(ROUND(H14-(F14-G14),0)=0,"✓","✗")</f>
        <v/>
      </c>
    </row>
    <row r="17">
      <c r="A17" s="25" t="inlineStr">
        <is>
          <t>檢查 2：真實 + 已解釋 = MV差合計</t>
        </is>
      </c>
      <c r="H17" s="26">
        <f>IF(ROUND(J14+K14-H14,0)=0,"✓","✗")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34" customWidth="1" min="4" max="4"/>
    <col width="36" customWidth="1" min="5" max="5"/>
  </cols>
  <sheetData>
    <row r="1">
      <c r="A1" s="1" t="inlineStr">
        <is>
          <t>升級清單 Escalation · 真實 break</t>
        </is>
      </c>
    </row>
    <row r="3">
      <c r="A3" s="3" t="inlineStr">
        <is>
          <t>優先</t>
        </is>
      </c>
      <c r="B3" s="2" t="inlineStr">
        <is>
          <t>Sec</t>
        </is>
      </c>
      <c r="C3" s="3" t="inlineStr">
        <is>
          <t>金額</t>
        </is>
      </c>
      <c r="D3" s="2" t="inlineStr">
        <is>
          <t>根因</t>
        </is>
      </c>
      <c r="E3" s="2" t="inlineStr">
        <is>
          <t>動作</t>
        </is>
      </c>
    </row>
    <row r="4">
      <c r="A4" s="11" t="n">
        <v>1</v>
      </c>
      <c r="B4" s="15" t="inlineStr">
        <is>
          <t>CA-USD</t>
        </is>
      </c>
      <c r="C4" s="18">
        <f>Recon!H13</f>
        <v/>
      </c>
      <c r="D4" s="7" t="inlineStr">
        <is>
          <t>現金缺口,不在未交割清單、非FX,查無佐證</t>
        </is>
      </c>
      <c r="E4" s="7" t="inlineStr">
        <is>
          <t>對銀行/保管流水,24h 內回覆;先排除錯帳/舞弊</t>
        </is>
      </c>
    </row>
    <row r="5">
      <c r="A5" s="11" t="n">
        <v>2</v>
      </c>
      <c r="B5" s="15" t="inlineStr">
        <is>
          <t>FI-XYZ</t>
        </is>
      </c>
      <c r="C5" s="18">
        <f>Recon!H12</f>
        <v/>
      </c>
      <c r="D5" s="7" t="inlineStr">
        <is>
          <t>GL 多 1,000,000 面額;疑已處分/贖回保管已沖、GL 未沖</t>
        </is>
      </c>
      <c r="E5" s="7" t="inlineStr">
        <is>
          <t>調 XYZ 處分/贖回確認,GL 補沖減</t>
        </is>
      </c>
    </row>
    <row r="6">
      <c r="A6" s="11" t="n">
        <v>3</v>
      </c>
      <c r="B6" s="15" t="inlineStr">
        <is>
          <t>EQ-VRT</t>
        </is>
      </c>
      <c r="C6" s="18">
        <f>Recon!H11</f>
        <v/>
      </c>
      <c r="D6" s="7" t="inlineStr">
        <is>
          <t>子帳多 2,500 股;疑買單保管已入、GL 未入</t>
        </is>
      </c>
      <c r="E6" s="7" t="inlineStr">
        <is>
          <t>查 VRT 成交確認,GL 補入 2,500 股</t>
        </is>
      </c>
    </row>
    <row r="7">
      <c r="A7" s="10" t="inlineStr">
        <is>
          <t>監控</t>
        </is>
      </c>
      <c r="B7" s="15" t="inlineStr">
        <is>
          <t>FI-GB123</t>
        </is>
      </c>
      <c r="C7" s="18">
        <f>Recon!H10</f>
        <v/>
      </c>
      <c r="D7" s="7" t="inlineStr">
        <is>
          <t>未交割買單(時間差)</t>
        </is>
      </c>
      <c r="E7" s="7" t="inlineStr">
        <is>
          <t>2026-05-02 交割後覆核,差異應消除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2026-06-18T05:30:40Z</dcterms:created>
  <dcterms:modified xmlns:dcterms="http://purl.org/dc/terms/" xmlns:xsi="http://www.w3.org/2001/XMLSchema-instance" xsi:type="dcterms:W3CDTF">2026-06-18T05:30:40Z</dcterms:modified>
</cp:coreProperties>
</file>