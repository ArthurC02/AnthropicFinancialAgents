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&quot;x&quot;"/>
    <numFmt numFmtId="166" formatCode="$#,##0.0"/>
    <numFmt numFmtId="167" formatCode="0.000"/>
    <numFmt numFmtId="168" formatCode="$#,##0.00"/>
    <numFmt numFmtId="169" formatCode="+0.0%;-0.0%"/>
  </numFmts>
  <fonts count="20">
    <font>
      <name val="Calibri"/>
      <family val="2"/>
      <color theme="1"/>
      <sz val="11"/>
      <scheme val="minor"/>
    </font>
    <font>
      <name val="Microsoft JhengHei"/>
      <b val="1"/>
      <color rgb="00FFFFFF"/>
      <sz val="15"/>
    </font>
    <font>
      <name val="Microsoft JhengHei"/>
      <color rgb="00FFFFFF"/>
      <sz val="9"/>
    </font>
    <font>
      <name val="Microsoft JhengHei"/>
      <b val="1"/>
      <color rgb="00FFFFFF"/>
      <sz val="11"/>
    </font>
    <font>
      <name val="Microsoft JhengHei"/>
      <color rgb="00222A35"/>
      <sz val="9.5"/>
    </font>
    <font>
      <name val="Microsoft JhengHei"/>
      <b val="1"/>
      <color rgb="001F4E79"/>
      <sz val="10"/>
    </font>
    <font>
      <name val="Microsoft JhengHei"/>
      <b val="1"/>
      <color rgb="00FFFFFF"/>
      <sz val="10"/>
    </font>
    <font>
      <name val="Microsoft JhengHei"/>
      <b val="1"/>
      <color rgb="00222A35"/>
      <sz val="10"/>
    </font>
    <font>
      <name val="Microsoft JhengHei"/>
      <color rgb="00222A35"/>
      <sz val="10"/>
    </font>
    <font>
      <name val="Microsoft JhengHei"/>
      <b val="1"/>
      <color rgb="000B1F3A"/>
      <sz val="11"/>
    </font>
    <font>
      <name val="Microsoft JhengHei"/>
      <b val="1"/>
      <color rgb="00222A35"/>
      <sz val="9.5"/>
    </font>
    <font>
      <name val="Microsoft JhengHei"/>
      <b val="1"/>
      <color rgb="00FFFFFF"/>
      <sz val="9.5"/>
    </font>
    <font>
      <name val="Microsoft JhengHei"/>
      <color rgb="001F4E79"/>
      <sz val="9.5"/>
    </font>
    <font>
      <name val="Microsoft JhengHei"/>
      <b val="1"/>
      <color rgb="000B1F3A"/>
      <sz val="12"/>
    </font>
    <font>
      <name val="Microsoft JhengHei"/>
      <color rgb="005A5A5A"/>
      <sz val="8.5"/>
    </font>
    <font>
      <name val="Microsoft JhengHei"/>
      <b val="1"/>
      <color rgb="001F4E79"/>
      <sz val="11"/>
    </font>
    <font>
      <name val="Microsoft JhengHei"/>
      <b val="1"/>
      <color rgb="00FFFFFF"/>
      <sz val="14"/>
    </font>
    <font>
      <name val="Microsoft JhengHei"/>
      <color rgb="005A5A5A"/>
      <sz val="9"/>
    </font>
    <font>
      <name val="Microsoft JhengHei"/>
      <b val="1"/>
      <color rgb="00222A35"/>
      <sz val="10.5"/>
    </font>
    <font>
      <name val="Microsoft JhengHei"/>
      <color rgb="00222A35"/>
      <sz val="9.800000000000001"/>
    </font>
  </fonts>
  <fills count="9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F4E79"/>
      </patternFill>
    </fill>
    <fill>
      <patternFill patternType="solid">
        <fgColor rgb="00ECEFF3"/>
      </patternFill>
    </fill>
    <fill>
      <patternFill patternType="solid">
        <fgColor rgb="00FFF6E6"/>
      </patternFill>
    </fill>
    <fill>
      <patternFill patternType="solid">
        <fgColor rgb="00FFFFFF"/>
      </patternFill>
    </fill>
    <fill>
      <patternFill patternType="solid">
        <fgColor rgb="00E3F1F8"/>
      </patternFill>
    </fill>
    <fill>
      <patternFill patternType="solid">
        <fgColor rgb="00D7F0E8"/>
      </patternFill>
    </fill>
  </fills>
  <borders count="6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1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166" fontId="7" fillId="6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 wrapText="1"/>
    </xf>
    <xf numFmtId="169" fontId="8" fillId="4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 wrapText="1"/>
    </xf>
    <xf numFmtId="164" fontId="8" fillId="6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166" fontId="7" fillId="4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center" vertical="center" wrapText="1"/>
    </xf>
    <xf numFmtId="166" fontId="8" fillId="6" borderId="1" applyAlignment="1" pivotButton="0" quotePrefix="0" xfId="0">
      <alignment horizontal="right" vertical="center"/>
    </xf>
    <xf numFmtId="168" fontId="5" fillId="5" borderId="1" applyAlignment="1" pivotButton="0" quotePrefix="0" xfId="0">
      <alignment horizontal="center" vertical="center" wrapText="1"/>
    </xf>
    <xf numFmtId="166" fontId="8" fillId="4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 wrapText="1"/>
    </xf>
    <xf numFmtId="166" fontId="7" fillId="7" borderId="1" applyAlignment="1" pivotButton="0" quotePrefix="0" xfId="0">
      <alignment horizontal="right" vertical="center"/>
    </xf>
    <xf numFmtId="1" fontId="8" fillId="6" borderId="1" applyAlignment="1" pivotButton="0" quotePrefix="0" xfId="0">
      <alignment horizontal="right" vertical="center"/>
    </xf>
    <xf numFmtId="167" fontId="8" fillId="4" borderId="1" applyAlignment="1" pivotButton="0" quotePrefix="0" xfId="0">
      <alignment horizontal="right" vertical="center"/>
    </xf>
    <xf numFmtId="0" fontId="9" fillId="0" borderId="0" pivotButton="0" quotePrefix="0" xfId="0"/>
    <xf numFmtId="0" fontId="11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169" fontId="12" fillId="5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horizontal="left" vertical="center" wrapText="1"/>
    </xf>
    <xf numFmtId="166" fontId="15" fillId="7" borderId="1" applyAlignment="1" pivotButton="0" quotePrefix="0" xfId="0">
      <alignment horizontal="right" vertical="center"/>
    </xf>
    <xf numFmtId="167" fontId="8" fillId="6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 wrapText="1"/>
    </xf>
    <xf numFmtId="168" fontId="15" fillId="8" borderId="1" applyAlignment="1" pivotButton="0" quotePrefix="0" xfId="0">
      <alignment horizontal="right" vertical="center"/>
    </xf>
    <xf numFmtId="168" fontId="8" fillId="6" borderId="1" applyAlignment="1" pivotButton="0" quotePrefix="0" xfId="0">
      <alignment horizontal="right" vertical="center"/>
    </xf>
    <xf numFmtId="169" fontId="15" fillId="8" borderId="1" applyAlignment="1" pivotButton="0" quotePrefix="0" xfId="0">
      <alignment horizontal="right" vertical="center"/>
    </xf>
    <xf numFmtId="166" fontId="15" fillId="6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0" fontId="16" fillId="2" borderId="0" applyAlignment="1" pivotButton="0" quotePrefix="0" xfId="0">
      <alignment horizontal="left" vertical="center"/>
    </xf>
    <xf numFmtId="165" fontId="6" fillId="3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168" fontId="8" fillId="6" borderId="1" applyAlignment="1" pivotButton="0" quotePrefix="0" xfId="0">
      <alignment horizontal="center" vertical="center" wrapText="1"/>
    </xf>
    <xf numFmtId="168" fontId="8" fillId="4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left" vertical="center" wrapText="1"/>
    </xf>
    <xf numFmtId="168" fontId="15" fillId="7" borderId="1" applyAlignment="1" pivotButton="0" quotePrefix="0" xfId="0">
      <alignment horizontal="right" vertical="center"/>
    </xf>
    <xf numFmtId="0" fontId="18" fillId="6" borderId="1" applyAlignment="1" pivotButton="0" quotePrefix="0" xfId="0">
      <alignment horizontal="left" vertical="center" wrapText="1"/>
    </xf>
    <xf numFmtId="168" fontId="15" fillId="6" borderId="1" applyAlignment="1" pivotButton="0" quotePrefix="0" xfId="0">
      <alignment horizontal="right" vertical="center"/>
    </xf>
    <xf numFmtId="0" fontId="18" fillId="4" borderId="1" applyAlignment="1" pivotButton="0" quotePrefix="0" xfId="0">
      <alignment horizontal="left" vertical="center" wrapText="1"/>
    </xf>
    <xf numFmtId="165" fontId="15" fillId="4" borderId="1" applyAlignment="1" pivotButton="0" quotePrefix="0" xfId="0">
      <alignment horizontal="right" vertical="center"/>
    </xf>
    <xf numFmtId="164" fontId="15" fillId="4" borderId="1" applyAlignment="1" pivotButton="0" quotePrefix="0" xfId="0">
      <alignment horizontal="right" vertical="center"/>
    </xf>
    <xf numFmtId="164" fontId="15" fillId="6" borderId="1" applyAlignment="1" pivotButton="0" quotePrefix="0" xfId="0">
      <alignment horizontal="right" vertical="center"/>
    </xf>
    <xf numFmtId="165" fontId="15" fillId="6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1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" customWidth="1" min="10" max="10"/>
    <col width="18" customWidth="1" min="11" max="11"/>
    <col width="11" customWidth="1" min="12" max="12"/>
  </cols>
  <sheetData>
    <row r="1" ht="26" customHeight="1">
      <c r="B1" s="1" t="inlineStr">
        <is>
          <t>Vertiv Holdings (VRT) — DCF 估值模型</t>
        </is>
      </c>
      <c r="K1" s="2" t="inlineStr">
        <is>
          <t>輸入 INPUTS</t>
        </is>
      </c>
    </row>
    <row r="2">
      <c r="B2" s="3" t="inlineStr">
        <is>
          <t>單位：US$ bn（除每股/倍數）· 活公式，開啟即重算 · 資料時點 2026/6 · 僅供研究參考</t>
        </is>
      </c>
      <c r="K2" s="4" t="inlineStr">
        <is>
          <t>情境 (1熊 2基 3牛)</t>
        </is>
      </c>
      <c r="L2" s="5" t="n">
        <v>2</v>
      </c>
    </row>
    <row r="3">
      <c r="K3" s="4" t="inlineStr">
        <is>
          <t>WACC</t>
        </is>
      </c>
      <c r="L3" s="6" t="n">
        <v>0.1</v>
      </c>
    </row>
    <row r="4">
      <c r="K4" s="4" t="inlineStr">
        <is>
          <t>終值成長 g</t>
        </is>
      </c>
      <c r="L4" s="6" t="n">
        <v>0.035</v>
      </c>
    </row>
    <row r="5">
      <c r="K5" s="4" t="inlineStr">
        <is>
          <t>終值 EV/EBITDA</t>
        </is>
      </c>
      <c r="L5" s="7" t="n">
        <v>22</v>
      </c>
    </row>
    <row r="6">
      <c r="K6" s="4" t="inlineStr">
        <is>
          <t>稅率</t>
        </is>
      </c>
      <c r="L6" s="6" t="n">
        <v>0.21</v>
      </c>
    </row>
    <row r="7">
      <c r="B7" s="8" t="inlineStr">
        <is>
          <t>項目 \ 年度</t>
        </is>
      </c>
      <c r="D7" s="9" t="inlineStr">
        <is>
          <t>FY25A</t>
        </is>
      </c>
      <c r="E7" s="9" t="inlineStr">
        <is>
          <t>FY26E</t>
        </is>
      </c>
      <c r="F7" s="9" t="inlineStr">
        <is>
          <t>FY27E</t>
        </is>
      </c>
      <c r="G7" s="9" t="inlineStr">
        <is>
          <t>FY28E</t>
        </is>
      </c>
      <c r="H7" s="9" t="inlineStr">
        <is>
          <t>FY29E</t>
        </is>
      </c>
      <c r="I7" s="9" t="inlineStr">
        <is>
          <t>FY30E</t>
        </is>
      </c>
      <c r="K7" s="4" t="inlineStr">
        <is>
          <t>D&amp;A %營收</t>
        </is>
      </c>
      <c r="L7" s="6" t="n">
        <v>0.026</v>
      </c>
    </row>
    <row r="8">
      <c r="B8" s="10" t="inlineStr">
        <is>
          <t>營收 Revenue</t>
        </is>
      </c>
      <c r="D8" s="11" t="n">
        <v>10.84</v>
      </c>
      <c r="E8" s="11">
        <f>D8*(1+E9)</f>
        <v/>
      </c>
      <c r="F8" s="11">
        <f>E8*(1+F9)</f>
        <v/>
      </c>
      <c r="G8" s="11">
        <f>F8*(1+G9)</f>
        <v/>
      </c>
      <c r="H8" s="11">
        <f>G8*(1+H9)</f>
        <v/>
      </c>
      <c r="I8" s="11">
        <f>H8*(1+I9)</f>
        <v/>
      </c>
      <c r="K8" s="4" t="inlineStr">
        <is>
          <t>Capex %營收</t>
        </is>
      </c>
      <c r="L8" s="6" t="n">
        <v>0.023</v>
      </c>
    </row>
    <row r="9">
      <c r="B9" s="12" t="inlineStr">
        <is>
          <t xml:space="preserve">  營收成長 %</t>
        </is>
      </c>
      <c r="D9" s="13" t="n">
        <v>0.28</v>
      </c>
      <c r="E9" s="13">
        <f>CHOOSE($L$2,E28,E29,E30)</f>
        <v/>
      </c>
      <c r="F9" s="13">
        <f>CHOOSE($L$2,F28,F29,F30)</f>
        <v/>
      </c>
      <c r="G9" s="13">
        <f>CHOOSE($L$2,G28,G29,G30)</f>
        <v/>
      </c>
      <c r="H9" s="13">
        <f>CHOOSE($L$2,H28,H29,H30)</f>
        <v/>
      </c>
      <c r="I9" s="13">
        <f>CHOOSE($L$2,I28,I29,I30)</f>
        <v/>
      </c>
      <c r="K9" s="4" t="inlineStr">
        <is>
          <t>ΔNWC %增額營收</t>
        </is>
      </c>
      <c r="L9" s="6" t="n">
        <v>0.08</v>
      </c>
    </row>
    <row r="10">
      <c r="B10" s="14" t="inlineStr">
        <is>
          <t xml:space="preserve">  EBIT 利潤率 %</t>
        </is>
      </c>
      <c r="D10" s="15" t="n">
        <v>0.19</v>
      </c>
      <c r="E10" s="15">
        <f>CHOOSE($L$2,E32,E33,E34)</f>
        <v/>
      </c>
      <c r="F10" s="15">
        <f>CHOOSE($L$2,F32,F33,F34)</f>
        <v/>
      </c>
      <c r="G10" s="15">
        <f>CHOOSE($L$2,G32,G33,G34)</f>
        <v/>
      </c>
      <c r="H10" s="15">
        <f>CHOOSE($L$2,H32,H33,H34)</f>
        <v/>
      </c>
      <c r="I10" s="15">
        <f>CHOOSE($L$2,I32,I33,I34)</f>
        <v/>
      </c>
      <c r="K10" s="4" t="inlineStr">
        <is>
          <t>淨負債 $bn</t>
        </is>
      </c>
      <c r="L10" s="16" t="n">
        <v>2</v>
      </c>
    </row>
    <row r="11">
      <c r="B11" s="17" t="inlineStr">
        <is>
          <t>EBIT (營業利益)</t>
        </is>
      </c>
      <c r="D11" s="18">
        <f>D8*D10</f>
        <v/>
      </c>
      <c r="E11" s="18">
        <f>E8*E10</f>
        <v/>
      </c>
      <c r="F11" s="18">
        <f>F8*F10</f>
        <v/>
      </c>
      <c r="G11" s="18">
        <f>G8*G10</f>
        <v/>
      </c>
      <c r="H11" s="18">
        <f>H8*H10</f>
        <v/>
      </c>
      <c r="I11" s="18">
        <f>I8*I10</f>
        <v/>
      </c>
      <c r="K11" s="4" t="inlineStr">
        <is>
          <t>股數 (bn)</t>
        </is>
      </c>
      <c r="L11" s="19" t="n">
        <v>0.382</v>
      </c>
    </row>
    <row r="12">
      <c r="B12" s="14" t="inlineStr">
        <is>
          <t xml:space="preserve">  減：稅 (NOPAT 稅)</t>
        </is>
      </c>
      <c r="D12" s="20" t="n"/>
      <c r="E12" s="20">
        <f>E11*$L$6</f>
        <v/>
      </c>
      <c r="F12" s="20">
        <f>F11*$L$6</f>
        <v/>
      </c>
      <c r="G12" s="20">
        <f>G11*$L$6</f>
        <v/>
      </c>
      <c r="H12" s="20">
        <f>H11*$L$6</f>
        <v/>
      </c>
      <c r="I12" s="20">
        <f>I11*$L$6</f>
        <v/>
      </c>
      <c r="K12" s="4" t="inlineStr">
        <is>
          <t>現價 $</t>
        </is>
      </c>
      <c r="L12" s="21" t="n">
        <v>320</v>
      </c>
    </row>
    <row r="13">
      <c r="B13" s="17" t="inlineStr">
        <is>
          <t>NOPAT</t>
        </is>
      </c>
      <c r="D13" s="18" t="n"/>
      <c r="E13" s="18">
        <f>E11-E12</f>
        <v/>
      </c>
      <c r="F13" s="18">
        <f>F11-F12</f>
        <v/>
      </c>
      <c r="G13" s="18">
        <f>G11-G12</f>
        <v/>
      </c>
      <c r="H13" s="18">
        <f>H11-H12</f>
        <v/>
      </c>
      <c r="I13" s="18">
        <f>I11-I12</f>
        <v/>
      </c>
    </row>
    <row r="14">
      <c r="B14" s="14" t="inlineStr">
        <is>
          <t xml:space="preserve">  加：折舊攤銷 D&amp;A</t>
        </is>
      </c>
      <c r="D14" s="20">
        <f>D8*$L$7</f>
        <v/>
      </c>
      <c r="E14" s="20">
        <f>E8*$L$7</f>
        <v/>
      </c>
      <c r="F14" s="20">
        <f>F8*$L$7</f>
        <v/>
      </c>
      <c r="G14" s="20">
        <f>G8*$L$7</f>
        <v/>
      </c>
      <c r="H14" s="20">
        <f>H8*$L$7</f>
        <v/>
      </c>
      <c r="I14" s="20">
        <f>I8*$L$7</f>
        <v/>
      </c>
    </row>
    <row r="15">
      <c r="B15" s="12" t="inlineStr">
        <is>
          <t xml:space="preserve">  減：資本支出 Capex</t>
        </is>
      </c>
      <c r="D15" s="22" t="n"/>
      <c r="E15" s="22">
        <f>E8*$L$8</f>
        <v/>
      </c>
      <c r="F15" s="22">
        <f>F8*$L$8</f>
        <v/>
      </c>
      <c r="G15" s="22">
        <f>G8*$L$8</f>
        <v/>
      </c>
      <c r="H15" s="22">
        <f>H8*$L$8</f>
        <v/>
      </c>
      <c r="I15" s="22">
        <f>I8*$L$8</f>
        <v/>
      </c>
    </row>
    <row r="16">
      <c r="B16" s="14" t="inlineStr">
        <is>
          <t xml:space="preserve">  減：營運資金增加 ΔNWC</t>
        </is>
      </c>
      <c r="D16" s="20" t="n"/>
      <c r="E16" s="20">
        <f>(E8-D8)*$L$9</f>
        <v/>
      </c>
      <c r="F16" s="20">
        <f>(F8-E8)*$L$9</f>
        <v/>
      </c>
      <c r="G16" s="20">
        <f>(G8-F8)*$L$9</f>
        <v/>
      </c>
      <c r="H16" s="20">
        <f>(H8-G8)*$L$9</f>
        <v/>
      </c>
      <c r="I16" s="20">
        <f>(I8-H8)*$L$9</f>
        <v/>
      </c>
    </row>
    <row r="17">
      <c r="B17" s="23" t="inlineStr">
        <is>
          <t>無槓桿自由現金流 FCFF</t>
        </is>
      </c>
      <c r="D17" s="24" t="n"/>
      <c r="E17" s="24">
        <f>E13+E14-E15-E16</f>
        <v/>
      </c>
      <c r="F17" s="24">
        <f>F13+F14-F15-F16</f>
        <v/>
      </c>
      <c r="G17" s="24">
        <f>G13+G14-G15-G16</f>
        <v/>
      </c>
      <c r="H17" s="24">
        <f>H13+H14-H15-H16</f>
        <v/>
      </c>
      <c r="I17" s="24">
        <f>I13+I14-I15-I16</f>
        <v/>
      </c>
    </row>
    <row r="18">
      <c r="B18" s="14" t="inlineStr">
        <is>
          <t xml:space="preserve">  期數 t</t>
        </is>
      </c>
      <c r="D18" s="25" t="n"/>
      <c r="E18" s="25" t="n">
        <v>1</v>
      </c>
      <c r="F18" s="25" t="n">
        <v>2</v>
      </c>
      <c r="G18" s="25" t="n">
        <v>3</v>
      </c>
      <c r="H18" s="25" t="n">
        <v>4</v>
      </c>
      <c r="I18" s="25" t="n">
        <v>5</v>
      </c>
    </row>
    <row r="19">
      <c r="B19" s="12" t="inlineStr">
        <is>
          <t xml:space="preserve">  折現因子</t>
        </is>
      </c>
      <c r="D19" s="26" t="n"/>
      <c r="E19" s="26">
        <f>1/(1+$L$3)^E18</f>
        <v/>
      </c>
      <c r="F19" s="26">
        <f>1/(1+$L$3)^F18</f>
        <v/>
      </c>
      <c r="G19" s="26">
        <f>1/(1+$L$3)^G18</f>
        <v/>
      </c>
      <c r="H19" s="26">
        <f>1/(1+$L$3)^H18</f>
        <v/>
      </c>
      <c r="I19" s="26">
        <f>1/(1+$L$3)^I18</f>
        <v/>
      </c>
    </row>
    <row r="20">
      <c r="B20" s="10" t="inlineStr">
        <is>
          <t>FCFF 現值 PV</t>
        </is>
      </c>
      <c r="D20" s="11" t="n"/>
      <c r="E20" s="11">
        <f>E17*E19</f>
        <v/>
      </c>
      <c r="F20" s="11">
        <f>F17*F19</f>
        <v/>
      </c>
      <c r="G20" s="11">
        <f>G17*G19</f>
        <v/>
      </c>
      <c r="H20" s="11">
        <f>H17*H19</f>
        <v/>
      </c>
      <c r="I20" s="11">
        <f>I17*I19</f>
        <v/>
      </c>
    </row>
    <row r="22">
      <c r="B22" s="14" t="inlineStr">
        <is>
          <t>備忘：EBITDA</t>
        </is>
      </c>
      <c r="D22" s="20">
        <f>D11+D14</f>
        <v/>
      </c>
      <c r="E22" s="20">
        <f>E11+E14</f>
        <v/>
      </c>
      <c r="F22" s="20">
        <f>F11+F14</f>
        <v/>
      </c>
      <c r="G22" s="20">
        <f>G11+G14</f>
        <v/>
      </c>
      <c r="H22" s="20">
        <f>H11+H14</f>
        <v/>
      </c>
      <c r="I22" s="20">
        <f>I11+I14</f>
        <v/>
      </c>
    </row>
    <row r="26">
      <c r="B26" s="27" t="inlineStr">
        <is>
          <t>情境假設 SCENARIO INPUTS（可編輯）</t>
        </is>
      </c>
    </row>
    <row r="27">
      <c r="B27" s="28" t="inlineStr">
        <is>
          <t>營收成長 (FY26→FY30)</t>
        </is>
      </c>
      <c r="E27" s="29" t="inlineStr">
        <is>
          <t>FY26E</t>
        </is>
      </c>
      <c r="F27" s="29" t="inlineStr">
        <is>
          <t>FY27E</t>
        </is>
      </c>
      <c r="G27" s="29" t="inlineStr">
        <is>
          <t>FY28E</t>
        </is>
      </c>
      <c r="H27" s="29" t="inlineStr">
        <is>
          <t>FY29E</t>
        </is>
      </c>
      <c r="I27" s="29" t="inlineStr">
        <is>
          <t>FY30E</t>
        </is>
      </c>
    </row>
    <row r="28">
      <c r="B28" s="30" t="inlineStr">
        <is>
          <t>熊 Bear</t>
        </is>
      </c>
      <c r="E28" s="31" t="n">
        <v>0.22</v>
      </c>
      <c r="F28" s="31" t="n">
        <v>0.15</v>
      </c>
      <c r="G28" s="31" t="n">
        <v>0.1</v>
      </c>
      <c r="H28" s="31" t="n">
        <v>0.07000000000000001</v>
      </c>
      <c r="I28" s="31" t="n">
        <v>0.05</v>
      </c>
    </row>
    <row r="29">
      <c r="B29" s="30" t="inlineStr">
        <is>
          <t>基 Base</t>
        </is>
      </c>
      <c r="E29" s="31" t="n">
        <v>0.27</v>
      </c>
      <c r="F29" s="31" t="n">
        <v>0.22</v>
      </c>
      <c r="G29" s="31" t="n">
        <v>0.16</v>
      </c>
      <c r="H29" s="31" t="n">
        <v>0.12</v>
      </c>
      <c r="I29" s="31" t="n">
        <v>0.09</v>
      </c>
    </row>
    <row r="30">
      <c r="B30" s="30" t="inlineStr">
        <is>
          <t>牛 Bull</t>
        </is>
      </c>
      <c r="E30" s="31" t="n">
        <v>0.32</v>
      </c>
      <c r="F30" s="31" t="n">
        <v>0.28</v>
      </c>
      <c r="G30" s="31" t="n">
        <v>0.22</v>
      </c>
      <c r="H30" s="31" t="n">
        <v>0.17</v>
      </c>
      <c r="I30" s="31" t="n">
        <v>0.12</v>
      </c>
    </row>
    <row r="31">
      <c r="B31" s="28" t="inlineStr">
        <is>
          <t>EBIT 利潤率 (FY26→FY30)</t>
        </is>
      </c>
      <c r="E31" s="29" t="inlineStr">
        <is>
          <t>FY26E</t>
        </is>
      </c>
      <c r="F31" s="29" t="inlineStr">
        <is>
          <t>FY27E</t>
        </is>
      </c>
      <c r="G31" s="29" t="inlineStr">
        <is>
          <t>FY28E</t>
        </is>
      </c>
      <c r="H31" s="29" t="inlineStr">
        <is>
          <t>FY29E</t>
        </is>
      </c>
      <c r="I31" s="29" t="inlineStr">
        <is>
          <t>FY30E</t>
        </is>
      </c>
    </row>
    <row r="32">
      <c r="B32" s="30" t="inlineStr">
        <is>
          <t>熊 Bear</t>
        </is>
      </c>
      <c r="E32" s="32" t="n">
        <v>0.195</v>
      </c>
      <c r="F32" s="32" t="n">
        <v>0.2</v>
      </c>
      <c r="G32" s="32" t="n">
        <v>0.205</v>
      </c>
      <c r="H32" s="32" t="n">
        <v>0.21</v>
      </c>
      <c r="I32" s="32" t="n">
        <v>0.21</v>
      </c>
    </row>
    <row r="33">
      <c r="B33" s="30" t="inlineStr">
        <is>
          <t>基 Base</t>
        </is>
      </c>
      <c r="E33" s="32" t="n">
        <v>0.2</v>
      </c>
      <c r="F33" s="32" t="n">
        <v>0.21</v>
      </c>
      <c r="G33" s="32" t="n">
        <v>0.22</v>
      </c>
      <c r="H33" s="32" t="n">
        <v>0.225</v>
      </c>
      <c r="I33" s="32" t="n">
        <v>0.23</v>
      </c>
    </row>
    <row r="34">
      <c r="B34" s="30" t="inlineStr">
        <is>
          <t>牛 Bull</t>
        </is>
      </c>
      <c r="E34" s="32" t="n">
        <v>0.205</v>
      </c>
      <c r="F34" s="32" t="n">
        <v>0.22</v>
      </c>
      <c r="G34" s="32" t="n">
        <v>0.235</v>
      </c>
      <c r="H34" s="32" t="n">
        <v>0.245</v>
      </c>
      <c r="I34" s="32" t="n">
        <v>0.25</v>
      </c>
    </row>
    <row r="36">
      <c r="B36" s="33" t="inlineStr">
        <is>
          <t>估值橋接 VALUATION BRIDGE</t>
        </is>
      </c>
    </row>
    <row r="37">
      <c r="B37" s="12" t="inlineStr">
        <is>
          <t>顯性期 PV 合計 (FCFF)</t>
        </is>
      </c>
      <c r="D37" s="22">
        <f>SUM(E20:I20)</f>
        <v/>
      </c>
      <c r="E37" s="34" t="inlineStr">
        <is>
          <t>FY26–FY30 折現後現金流加總</t>
        </is>
      </c>
    </row>
    <row r="38">
      <c r="B38" s="14" t="inlineStr">
        <is>
          <t>終年 EBITDA (FY30E)</t>
        </is>
      </c>
      <c r="D38" s="20">
        <f>I22</f>
        <v/>
      </c>
    </row>
    <row r="39">
      <c r="B39" s="12" t="inlineStr">
        <is>
          <t>終值 TV (Exit Multiple 法)</t>
        </is>
      </c>
      <c r="D39" s="22">
        <f>I22*$L$5</f>
        <v/>
      </c>
      <c r="E39" s="34">
        <f> 終年 EBITDA × 終值 EV/EBITDA 倍數</f>
        <v/>
      </c>
    </row>
    <row r="40">
      <c r="B40" s="14" t="inlineStr">
        <is>
          <t>終值現值 PV of TV</t>
        </is>
      </c>
      <c r="D40" s="20">
        <f>D39*I19</f>
        <v/>
      </c>
    </row>
    <row r="41">
      <c r="B41" s="23" t="inlineStr">
        <is>
          <t>企業價值 EV</t>
        </is>
      </c>
      <c r="D41" s="35">
        <f>D37+D40</f>
        <v/>
      </c>
    </row>
    <row r="42">
      <c r="B42" s="14" t="inlineStr">
        <is>
          <t xml:space="preserve">  減：淨負債 Net Debt</t>
        </is>
      </c>
      <c r="D42" s="20">
        <f>$L$10</f>
        <v/>
      </c>
    </row>
    <row r="43">
      <c r="B43" s="23" t="inlineStr">
        <is>
          <t>股權價值 Equity Value</t>
        </is>
      </c>
      <c r="D43" s="35">
        <f>D41-D42</f>
        <v/>
      </c>
    </row>
    <row r="44">
      <c r="B44" s="14" t="inlineStr">
        <is>
          <t xml:space="preserve">  股數 (bn)</t>
        </is>
      </c>
      <c r="D44" s="36">
        <f>$L$11</f>
        <v/>
      </c>
    </row>
    <row r="45">
      <c r="B45" s="37" t="inlineStr">
        <is>
          <t>每股價值 (Exit Mult.)</t>
        </is>
      </c>
      <c r="D45" s="38">
        <f>D43/D44</f>
        <v/>
      </c>
    </row>
    <row r="46">
      <c r="B46" s="14" t="inlineStr">
        <is>
          <t>現價 Current Price</t>
        </is>
      </c>
      <c r="D46" s="39">
        <f>$L$12</f>
        <v/>
      </c>
    </row>
    <row r="47">
      <c r="B47" s="37" t="inlineStr">
        <is>
          <t>上漲/下跌空間</t>
        </is>
      </c>
      <c r="D47" s="40">
        <f>D45/D46-1</f>
        <v/>
      </c>
    </row>
    <row r="49">
      <c r="B49" s="33" t="inlineStr">
        <is>
          <t>交叉驗證 CROSS-CHECK</t>
        </is>
      </c>
    </row>
    <row r="50">
      <c r="B50" s="14" t="inlineStr">
        <is>
          <t>終值 (永續成長法 Gordon)</t>
        </is>
      </c>
      <c r="D50" s="20">
        <f>I17*(1+$L$4)/($L$3-$L$4)</f>
        <v/>
      </c>
      <c r="E50" s="34">
        <f> FCFF₃₀×(1+g)/(WACC−g)</f>
        <v/>
      </c>
    </row>
    <row r="51">
      <c r="B51" s="12" t="inlineStr">
        <is>
          <t xml:space="preserve">  其現值</t>
        </is>
      </c>
      <c r="D51" s="22">
        <f>D50*I19</f>
        <v/>
      </c>
    </row>
    <row r="52">
      <c r="B52" s="10" t="inlineStr">
        <is>
          <t>企業價值 EV (永續法)</t>
        </is>
      </c>
      <c r="D52" s="41">
        <f>D37+D51</f>
        <v/>
      </c>
    </row>
    <row r="53">
      <c r="B53" s="37" t="inlineStr">
        <is>
          <t>每股價值 (永續法)</t>
        </is>
      </c>
      <c r="D53" s="38">
        <f>(D52-$L$10)/$L$11</f>
        <v/>
      </c>
    </row>
    <row r="54">
      <c r="B54" s="14" t="inlineStr">
        <is>
          <t>DCF 隱含 EV/EBITDA (FY26E)</t>
        </is>
      </c>
      <c r="D54" s="42">
        <f>D41/E22</f>
        <v/>
      </c>
      <c r="E54" s="34" t="inlineStr">
        <is>
          <t>與同業中位/Vertiv 現倍數比較</t>
        </is>
      </c>
    </row>
    <row r="55">
      <c r="B55" s="12" t="inlineStr">
        <is>
          <t>終值占 EV 比重</t>
        </is>
      </c>
      <c r="D55" s="43">
        <f>D40/D41</f>
        <v/>
      </c>
      <c r="E55" s="34" t="inlineStr">
        <is>
          <t>健康區間約 50–70%</t>
        </is>
      </c>
    </row>
    <row r="56">
      <c r="B56" s="14" t="inlineStr">
        <is>
          <t>DCF 隱含 P/E (vs FY26E NOPAT)</t>
        </is>
      </c>
      <c r="D56" s="42">
        <f>D43/(E13)</f>
        <v/>
      </c>
      <c r="E56" s="34" t="inlineStr">
        <is>
          <t>粗略；NOPAT 近似淨利</t>
        </is>
      </c>
    </row>
  </sheetData>
  <mergeCells count="9">
    <mergeCell ref="E50:I50"/>
    <mergeCell ref="E54:I54"/>
    <mergeCell ref="B2:I2"/>
    <mergeCell ref="K1:L1"/>
    <mergeCell ref="E55:I55"/>
    <mergeCell ref="E37:I37"/>
    <mergeCell ref="E39:I39"/>
    <mergeCell ref="B1:I1"/>
    <mergeCell ref="E56:I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6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4" customHeight="1">
      <c r="B1" s="44" t="inlineStr">
        <is>
          <t>敏感度分析 SENSITIVITY（基於目前情境之 FCFF 流）</t>
        </is>
      </c>
    </row>
    <row r="3">
      <c r="B3" s="27" t="inlineStr">
        <is>
          <t>每股價值：WACC × 終值 EV/EBITDA</t>
        </is>
      </c>
    </row>
    <row r="5">
      <c r="B5" s="29" t="inlineStr">
        <is>
          <t>WACC ↓ / 倍數 →</t>
        </is>
      </c>
      <c r="C5" s="45" t="n">
        <v>16</v>
      </c>
      <c r="D5" s="45" t="n">
        <v>18</v>
      </c>
      <c r="E5" s="45" t="n">
        <v>20</v>
      </c>
      <c r="F5" s="45" t="n">
        <v>22</v>
      </c>
      <c r="G5" s="45" t="n">
        <v>24</v>
      </c>
      <c r="H5" s="45" t="n">
        <v>26</v>
      </c>
    </row>
    <row r="6">
      <c r="B6" s="46" t="n">
        <v>0.08500000000000001</v>
      </c>
      <c r="C6" s="47">
        <f>(SUMPRODUCT(DCF!$E$17:$I$17,1/(1+0.085)^DCF!$E$18:$I$18)+(DCF!$I$22*16)/(1+0.085)^DCF!$I$18-DCF!$L$10)/DCF!$L$11</f>
        <v/>
      </c>
      <c r="D6" s="47">
        <f>(SUMPRODUCT(DCF!$E$17:$I$17,1/(1+0.085)^DCF!$E$18:$I$18)+(DCF!$I$22*18)/(1+0.085)^DCF!$I$18-DCF!$L$10)/DCF!$L$11</f>
        <v/>
      </c>
      <c r="E6" s="47">
        <f>(SUMPRODUCT(DCF!$E$17:$I$17,1/(1+0.085)^DCF!$E$18:$I$18)+(DCF!$I$22*20)/(1+0.085)^DCF!$I$18-DCF!$L$10)/DCF!$L$11</f>
        <v/>
      </c>
      <c r="F6" s="47">
        <f>(SUMPRODUCT(DCF!$E$17:$I$17,1/(1+0.085)^DCF!$E$18:$I$18)+(DCF!$I$22*22)/(1+0.085)^DCF!$I$18-DCF!$L$10)/DCF!$L$11</f>
        <v/>
      </c>
      <c r="G6" s="47">
        <f>(SUMPRODUCT(DCF!$E$17:$I$17,1/(1+0.085)^DCF!$E$18:$I$18)+(DCF!$I$22*24)/(1+0.085)^DCF!$I$18-DCF!$L$10)/DCF!$L$11</f>
        <v/>
      </c>
      <c r="H6" s="47">
        <f>(SUMPRODUCT(DCF!$E$17:$I$17,1/(1+0.085)^DCF!$E$18:$I$18)+(DCF!$I$22*26)/(1+0.085)^DCF!$I$18-DCF!$L$10)/DCF!$L$11</f>
        <v/>
      </c>
    </row>
    <row r="7">
      <c r="B7" s="46" t="n">
        <v>0.09</v>
      </c>
      <c r="C7" s="48">
        <f>(SUMPRODUCT(DCF!$E$17:$I$17,1/(1+0.09)^DCF!$E$18:$I$18)+(DCF!$I$22*16)/(1+0.09)^DCF!$I$18-DCF!$L$10)/DCF!$L$11</f>
        <v/>
      </c>
      <c r="D7" s="48">
        <f>(SUMPRODUCT(DCF!$E$17:$I$17,1/(1+0.09)^DCF!$E$18:$I$18)+(DCF!$I$22*18)/(1+0.09)^DCF!$I$18-DCF!$L$10)/DCF!$L$11</f>
        <v/>
      </c>
      <c r="E7" s="48">
        <f>(SUMPRODUCT(DCF!$E$17:$I$17,1/(1+0.09)^DCF!$E$18:$I$18)+(DCF!$I$22*20)/(1+0.09)^DCF!$I$18-DCF!$L$10)/DCF!$L$11</f>
        <v/>
      </c>
      <c r="F7" s="48">
        <f>(SUMPRODUCT(DCF!$E$17:$I$17,1/(1+0.09)^DCF!$E$18:$I$18)+(DCF!$I$22*22)/(1+0.09)^DCF!$I$18-DCF!$L$10)/DCF!$L$11</f>
        <v/>
      </c>
      <c r="G7" s="48">
        <f>(SUMPRODUCT(DCF!$E$17:$I$17,1/(1+0.09)^DCF!$E$18:$I$18)+(DCF!$I$22*24)/(1+0.09)^DCF!$I$18-DCF!$L$10)/DCF!$L$11</f>
        <v/>
      </c>
      <c r="H7" s="48">
        <f>(SUMPRODUCT(DCF!$E$17:$I$17,1/(1+0.09)^DCF!$E$18:$I$18)+(DCF!$I$22*26)/(1+0.09)^DCF!$I$18-DCF!$L$10)/DCF!$L$11</f>
        <v/>
      </c>
    </row>
    <row r="8">
      <c r="B8" s="46" t="n">
        <v>0.095</v>
      </c>
      <c r="C8" s="47">
        <f>(SUMPRODUCT(DCF!$E$17:$I$17,1/(1+0.095)^DCF!$E$18:$I$18)+(DCF!$I$22*16)/(1+0.095)^DCF!$I$18-DCF!$L$10)/DCF!$L$11</f>
        <v/>
      </c>
      <c r="D8" s="47">
        <f>(SUMPRODUCT(DCF!$E$17:$I$17,1/(1+0.095)^DCF!$E$18:$I$18)+(DCF!$I$22*18)/(1+0.095)^DCF!$I$18-DCF!$L$10)/DCF!$L$11</f>
        <v/>
      </c>
      <c r="E8" s="47">
        <f>(SUMPRODUCT(DCF!$E$17:$I$17,1/(1+0.095)^DCF!$E$18:$I$18)+(DCF!$I$22*20)/(1+0.095)^DCF!$I$18-DCF!$L$10)/DCF!$L$11</f>
        <v/>
      </c>
      <c r="F8" s="47">
        <f>(SUMPRODUCT(DCF!$E$17:$I$17,1/(1+0.095)^DCF!$E$18:$I$18)+(DCF!$I$22*22)/(1+0.095)^DCF!$I$18-DCF!$L$10)/DCF!$L$11</f>
        <v/>
      </c>
      <c r="G8" s="47">
        <f>(SUMPRODUCT(DCF!$E$17:$I$17,1/(1+0.095)^DCF!$E$18:$I$18)+(DCF!$I$22*24)/(1+0.095)^DCF!$I$18-DCF!$L$10)/DCF!$L$11</f>
        <v/>
      </c>
      <c r="H8" s="47">
        <f>(SUMPRODUCT(DCF!$E$17:$I$17,1/(1+0.095)^DCF!$E$18:$I$18)+(DCF!$I$22*26)/(1+0.095)^DCF!$I$18-DCF!$L$10)/DCF!$L$11</f>
        <v/>
      </c>
    </row>
    <row r="9">
      <c r="B9" s="46" t="n">
        <v>0.1</v>
      </c>
      <c r="C9" s="48">
        <f>(SUMPRODUCT(DCF!$E$17:$I$17,1/(1+0.1)^DCF!$E$18:$I$18)+(DCF!$I$22*16)/(1+0.1)^DCF!$I$18-DCF!$L$10)/DCF!$L$11</f>
        <v/>
      </c>
      <c r="D9" s="48">
        <f>(SUMPRODUCT(DCF!$E$17:$I$17,1/(1+0.1)^DCF!$E$18:$I$18)+(DCF!$I$22*18)/(1+0.1)^DCF!$I$18-DCF!$L$10)/DCF!$L$11</f>
        <v/>
      </c>
      <c r="E9" s="48">
        <f>(SUMPRODUCT(DCF!$E$17:$I$17,1/(1+0.1)^DCF!$E$18:$I$18)+(DCF!$I$22*20)/(1+0.1)^DCF!$I$18-DCF!$L$10)/DCF!$L$11</f>
        <v/>
      </c>
      <c r="F9" s="48">
        <f>(SUMPRODUCT(DCF!$E$17:$I$17,1/(1+0.1)^DCF!$E$18:$I$18)+(DCF!$I$22*22)/(1+0.1)^DCF!$I$18-DCF!$L$10)/DCF!$L$11</f>
        <v/>
      </c>
      <c r="G9" s="48">
        <f>(SUMPRODUCT(DCF!$E$17:$I$17,1/(1+0.1)^DCF!$E$18:$I$18)+(DCF!$I$22*24)/(1+0.1)^DCF!$I$18-DCF!$L$10)/DCF!$L$11</f>
        <v/>
      </c>
      <c r="H9" s="48">
        <f>(SUMPRODUCT(DCF!$E$17:$I$17,1/(1+0.1)^DCF!$E$18:$I$18)+(DCF!$I$22*26)/(1+0.1)^DCF!$I$18-DCF!$L$10)/DCF!$L$11</f>
        <v/>
      </c>
    </row>
    <row r="10">
      <c r="B10" s="46" t="n">
        <v>0.105</v>
      </c>
      <c r="C10" s="47">
        <f>(SUMPRODUCT(DCF!$E$17:$I$17,1/(1+0.105)^DCF!$E$18:$I$18)+(DCF!$I$22*16)/(1+0.105)^DCF!$I$18-DCF!$L$10)/DCF!$L$11</f>
        <v/>
      </c>
      <c r="D10" s="47">
        <f>(SUMPRODUCT(DCF!$E$17:$I$17,1/(1+0.105)^DCF!$E$18:$I$18)+(DCF!$I$22*18)/(1+0.105)^DCF!$I$18-DCF!$L$10)/DCF!$L$11</f>
        <v/>
      </c>
      <c r="E10" s="47">
        <f>(SUMPRODUCT(DCF!$E$17:$I$17,1/(1+0.105)^DCF!$E$18:$I$18)+(DCF!$I$22*20)/(1+0.105)^DCF!$I$18-DCF!$L$10)/DCF!$L$11</f>
        <v/>
      </c>
      <c r="F10" s="47">
        <f>(SUMPRODUCT(DCF!$E$17:$I$17,1/(1+0.105)^DCF!$E$18:$I$18)+(DCF!$I$22*22)/(1+0.105)^DCF!$I$18-DCF!$L$10)/DCF!$L$11</f>
        <v/>
      </c>
      <c r="G10" s="47">
        <f>(SUMPRODUCT(DCF!$E$17:$I$17,1/(1+0.105)^DCF!$E$18:$I$18)+(DCF!$I$22*24)/(1+0.105)^DCF!$I$18-DCF!$L$10)/DCF!$L$11</f>
        <v/>
      </c>
      <c r="H10" s="47">
        <f>(SUMPRODUCT(DCF!$E$17:$I$17,1/(1+0.105)^DCF!$E$18:$I$18)+(DCF!$I$22*26)/(1+0.105)^DCF!$I$18-DCF!$L$10)/DCF!$L$11</f>
        <v/>
      </c>
    </row>
    <row r="11">
      <c r="B11" s="46" t="n">
        <v>0.11</v>
      </c>
      <c r="C11" s="48">
        <f>(SUMPRODUCT(DCF!$E$17:$I$17,1/(1+0.11)^DCF!$E$18:$I$18)+(DCF!$I$22*16)/(1+0.11)^DCF!$I$18-DCF!$L$10)/DCF!$L$11</f>
        <v/>
      </c>
      <c r="D11" s="48">
        <f>(SUMPRODUCT(DCF!$E$17:$I$17,1/(1+0.11)^DCF!$E$18:$I$18)+(DCF!$I$22*18)/(1+0.11)^DCF!$I$18-DCF!$L$10)/DCF!$L$11</f>
        <v/>
      </c>
      <c r="E11" s="48">
        <f>(SUMPRODUCT(DCF!$E$17:$I$17,1/(1+0.11)^DCF!$E$18:$I$18)+(DCF!$I$22*20)/(1+0.11)^DCF!$I$18-DCF!$L$10)/DCF!$L$11</f>
        <v/>
      </c>
      <c r="F11" s="48">
        <f>(SUMPRODUCT(DCF!$E$17:$I$17,1/(1+0.11)^DCF!$E$18:$I$18)+(DCF!$I$22*22)/(1+0.11)^DCF!$I$18-DCF!$L$10)/DCF!$L$11</f>
        <v/>
      </c>
      <c r="G11" s="48">
        <f>(SUMPRODUCT(DCF!$E$17:$I$17,1/(1+0.11)^DCF!$E$18:$I$18)+(DCF!$I$22*24)/(1+0.11)^DCF!$I$18-DCF!$L$10)/DCF!$L$11</f>
        <v/>
      </c>
      <c r="H11" s="48">
        <f>(SUMPRODUCT(DCF!$E$17:$I$17,1/(1+0.11)^DCF!$E$18:$I$18)+(DCF!$I$22*26)/(1+0.11)^DCF!$I$18-DCF!$L$10)/DCF!$L$11</f>
        <v/>
      </c>
    </row>
    <row r="12">
      <c r="B12" s="46" t="n">
        <v>0.115</v>
      </c>
      <c r="C12" s="47">
        <f>(SUMPRODUCT(DCF!$E$17:$I$17,1/(1+0.115)^DCF!$E$18:$I$18)+(DCF!$I$22*16)/(1+0.115)^DCF!$I$18-DCF!$L$10)/DCF!$L$11</f>
        <v/>
      </c>
      <c r="D12" s="47">
        <f>(SUMPRODUCT(DCF!$E$17:$I$17,1/(1+0.115)^DCF!$E$18:$I$18)+(DCF!$I$22*18)/(1+0.115)^DCF!$I$18-DCF!$L$10)/DCF!$L$11</f>
        <v/>
      </c>
      <c r="E12" s="47">
        <f>(SUMPRODUCT(DCF!$E$17:$I$17,1/(1+0.115)^DCF!$E$18:$I$18)+(DCF!$I$22*20)/(1+0.115)^DCF!$I$18-DCF!$L$10)/DCF!$L$11</f>
        <v/>
      </c>
      <c r="F12" s="47">
        <f>(SUMPRODUCT(DCF!$E$17:$I$17,1/(1+0.115)^DCF!$E$18:$I$18)+(DCF!$I$22*22)/(1+0.115)^DCF!$I$18-DCF!$L$10)/DCF!$L$11</f>
        <v/>
      </c>
      <c r="G12" s="47">
        <f>(SUMPRODUCT(DCF!$E$17:$I$17,1/(1+0.115)^DCF!$E$18:$I$18)+(DCF!$I$22*24)/(1+0.115)^DCF!$I$18-DCF!$L$10)/DCF!$L$11</f>
        <v/>
      </c>
      <c r="H12" s="47">
        <f>(SUMPRODUCT(DCF!$E$17:$I$17,1/(1+0.115)^DCF!$E$18:$I$18)+(DCF!$I$22*26)/(1+0.115)^DCF!$I$18-DCF!$L$10)/DCF!$L$11</f>
        <v/>
      </c>
    </row>
    <row r="15">
      <c r="B15" s="27" t="inlineStr">
        <is>
          <t>每股價值：WACC × 終值成長 g（永續法）</t>
        </is>
      </c>
    </row>
    <row r="17">
      <c r="B17" s="29" t="inlineStr">
        <is>
          <t>WACC ↓ / g →</t>
        </is>
      </c>
      <c r="C17" s="46" t="n">
        <v>0.025</v>
      </c>
      <c r="D17" s="46" t="n">
        <v>0.03</v>
      </c>
      <c r="E17" s="46" t="n">
        <v>0.035</v>
      </c>
      <c r="F17" s="46" t="n">
        <v>0.04</v>
      </c>
      <c r="G17" s="46" t="n">
        <v>0.045</v>
      </c>
    </row>
    <row r="18">
      <c r="B18" s="46" t="n">
        <v>0.08500000000000001</v>
      </c>
      <c r="C18" s="47">
        <f>(SUMPRODUCT(DCF!$E$17:$I$17,1/(1+0.085)^DCF!$E$18:$I$18)+((DCF!$I$17*(1+0.025))/(0.085-0.025))/(1+0.085)^DCF!$I$18-DCF!$L$10)/DCF!$L$11</f>
        <v/>
      </c>
      <c r="D18" s="47">
        <f>(SUMPRODUCT(DCF!$E$17:$I$17,1/(1+0.085)^DCF!$E$18:$I$18)+((DCF!$I$17*(1+0.03))/(0.085-0.03))/(1+0.085)^DCF!$I$18-DCF!$L$10)/DCF!$L$11</f>
        <v/>
      </c>
      <c r="E18" s="47">
        <f>(SUMPRODUCT(DCF!$E$17:$I$17,1/(1+0.085)^DCF!$E$18:$I$18)+((DCF!$I$17*(1+0.035))/(0.085-0.035))/(1+0.085)^DCF!$I$18-DCF!$L$10)/DCF!$L$11</f>
        <v/>
      </c>
      <c r="F18" s="47">
        <f>(SUMPRODUCT(DCF!$E$17:$I$17,1/(1+0.085)^DCF!$E$18:$I$18)+((DCF!$I$17*(1+0.04))/(0.085-0.04))/(1+0.085)^DCF!$I$18-DCF!$L$10)/DCF!$L$11</f>
        <v/>
      </c>
      <c r="G18" s="47">
        <f>(SUMPRODUCT(DCF!$E$17:$I$17,1/(1+0.085)^DCF!$E$18:$I$18)+((DCF!$I$17*(1+0.045))/(0.085-0.045))/(1+0.085)^DCF!$I$18-DCF!$L$10)/DCF!$L$11</f>
        <v/>
      </c>
    </row>
    <row r="19">
      <c r="B19" s="46" t="n">
        <v>0.09</v>
      </c>
      <c r="C19" s="48">
        <f>(SUMPRODUCT(DCF!$E$17:$I$17,1/(1+0.09)^DCF!$E$18:$I$18)+((DCF!$I$17*(1+0.025))/(0.09-0.025))/(1+0.09)^DCF!$I$18-DCF!$L$10)/DCF!$L$11</f>
        <v/>
      </c>
      <c r="D19" s="48">
        <f>(SUMPRODUCT(DCF!$E$17:$I$17,1/(1+0.09)^DCF!$E$18:$I$18)+((DCF!$I$17*(1+0.03))/(0.09-0.03))/(1+0.09)^DCF!$I$18-DCF!$L$10)/DCF!$L$11</f>
        <v/>
      </c>
      <c r="E19" s="48">
        <f>(SUMPRODUCT(DCF!$E$17:$I$17,1/(1+0.09)^DCF!$E$18:$I$18)+((DCF!$I$17*(1+0.035))/(0.09-0.035))/(1+0.09)^DCF!$I$18-DCF!$L$10)/DCF!$L$11</f>
        <v/>
      </c>
      <c r="F19" s="48">
        <f>(SUMPRODUCT(DCF!$E$17:$I$17,1/(1+0.09)^DCF!$E$18:$I$18)+((DCF!$I$17*(1+0.04))/(0.09-0.04))/(1+0.09)^DCF!$I$18-DCF!$L$10)/DCF!$L$11</f>
        <v/>
      </c>
      <c r="G19" s="48">
        <f>(SUMPRODUCT(DCF!$E$17:$I$17,1/(1+0.09)^DCF!$E$18:$I$18)+((DCF!$I$17*(1+0.045))/(0.09-0.045))/(1+0.09)^DCF!$I$18-DCF!$L$10)/DCF!$L$11</f>
        <v/>
      </c>
    </row>
    <row r="20">
      <c r="B20" s="46" t="n">
        <v>0.095</v>
      </c>
      <c r="C20" s="47">
        <f>(SUMPRODUCT(DCF!$E$17:$I$17,1/(1+0.095)^DCF!$E$18:$I$18)+((DCF!$I$17*(1+0.025))/(0.095-0.025))/(1+0.095)^DCF!$I$18-DCF!$L$10)/DCF!$L$11</f>
        <v/>
      </c>
      <c r="D20" s="47">
        <f>(SUMPRODUCT(DCF!$E$17:$I$17,1/(1+0.095)^DCF!$E$18:$I$18)+((DCF!$I$17*(1+0.03))/(0.095-0.03))/(1+0.095)^DCF!$I$18-DCF!$L$10)/DCF!$L$11</f>
        <v/>
      </c>
      <c r="E20" s="47">
        <f>(SUMPRODUCT(DCF!$E$17:$I$17,1/(1+0.095)^DCF!$E$18:$I$18)+((DCF!$I$17*(1+0.035))/(0.095-0.035))/(1+0.095)^DCF!$I$18-DCF!$L$10)/DCF!$L$11</f>
        <v/>
      </c>
      <c r="F20" s="47">
        <f>(SUMPRODUCT(DCF!$E$17:$I$17,1/(1+0.095)^DCF!$E$18:$I$18)+((DCF!$I$17*(1+0.04))/(0.095-0.04))/(1+0.095)^DCF!$I$18-DCF!$L$10)/DCF!$L$11</f>
        <v/>
      </c>
      <c r="G20" s="47">
        <f>(SUMPRODUCT(DCF!$E$17:$I$17,1/(1+0.095)^DCF!$E$18:$I$18)+((DCF!$I$17*(1+0.045))/(0.095-0.045))/(1+0.095)^DCF!$I$18-DCF!$L$10)/DCF!$L$11</f>
        <v/>
      </c>
    </row>
    <row r="21">
      <c r="B21" s="46" t="n">
        <v>0.1</v>
      </c>
      <c r="C21" s="48">
        <f>(SUMPRODUCT(DCF!$E$17:$I$17,1/(1+0.1)^DCF!$E$18:$I$18)+((DCF!$I$17*(1+0.025))/(0.1-0.025))/(1+0.1)^DCF!$I$18-DCF!$L$10)/DCF!$L$11</f>
        <v/>
      </c>
      <c r="D21" s="48">
        <f>(SUMPRODUCT(DCF!$E$17:$I$17,1/(1+0.1)^DCF!$E$18:$I$18)+((DCF!$I$17*(1+0.03))/(0.1-0.03))/(1+0.1)^DCF!$I$18-DCF!$L$10)/DCF!$L$11</f>
        <v/>
      </c>
      <c r="E21" s="48">
        <f>(SUMPRODUCT(DCF!$E$17:$I$17,1/(1+0.1)^DCF!$E$18:$I$18)+((DCF!$I$17*(1+0.035))/(0.1-0.035))/(1+0.1)^DCF!$I$18-DCF!$L$10)/DCF!$L$11</f>
        <v/>
      </c>
      <c r="F21" s="48">
        <f>(SUMPRODUCT(DCF!$E$17:$I$17,1/(1+0.1)^DCF!$E$18:$I$18)+((DCF!$I$17*(1+0.04))/(0.1-0.04))/(1+0.1)^DCF!$I$18-DCF!$L$10)/DCF!$L$11</f>
        <v/>
      </c>
      <c r="G21" s="48">
        <f>(SUMPRODUCT(DCF!$E$17:$I$17,1/(1+0.1)^DCF!$E$18:$I$18)+((DCF!$I$17*(1+0.045))/(0.1-0.045))/(1+0.1)^DCF!$I$18-DCF!$L$10)/DCF!$L$11</f>
        <v/>
      </c>
    </row>
    <row r="22">
      <c r="B22" s="46" t="n">
        <v>0.105</v>
      </c>
      <c r="C22" s="47">
        <f>(SUMPRODUCT(DCF!$E$17:$I$17,1/(1+0.105)^DCF!$E$18:$I$18)+((DCF!$I$17*(1+0.025))/(0.105-0.025))/(1+0.105)^DCF!$I$18-DCF!$L$10)/DCF!$L$11</f>
        <v/>
      </c>
      <c r="D22" s="47">
        <f>(SUMPRODUCT(DCF!$E$17:$I$17,1/(1+0.105)^DCF!$E$18:$I$18)+((DCF!$I$17*(1+0.03))/(0.105-0.03))/(1+0.105)^DCF!$I$18-DCF!$L$10)/DCF!$L$11</f>
        <v/>
      </c>
      <c r="E22" s="47">
        <f>(SUMPRODUCT(DCF!$E$17:$I$17,1/(1+0.105)^DCF!$E$18:$I$18)+((DCF!$I$17*(1+0.035))/(0.105-0.035))/(1+0.105)^DCF!$I$18-DCF!$L$10)/DCF!$L$11</f>
        <v/>
      </c>
      <c r="F22" s="47">
        <f>(SUMPRODUCT(DCF!$E$17:$I$17,1/(1+0.105)^DCF!$E$18:$I$18)+((DCF!$I$17*(1+0.04))/(0.105-0.04))/(1+0.105)^DCF!$I$18-DCF!$L$10)/DCF!$L$11</f>
        <v/>
      </c>
      <c r="G22" s="47">
        <f>(SUMPRODUCT(DCF!$E$17:$I$17,1/(1+0.105)^DCF!$E$18:$I$18)+((DCF!$I$17*(1+0.045))/(0.105-0.045))/(1+0.105)^DCF!$I$18-DCF!$L$10)/DCF!$L$11</f>
        <v/>
      </c>
    </row>
    <row r="23">
      <c r="B23" s="46" t="n">
        <v>0.11</v>
      </c>
      <c r="C23" s="48">
        <f>(SUMPRODUCT(DCF!$E$17:$I$17,1/(1+0.11)^DCF!$E$18:$I$18)+((DCF!$I$17*(1+0.025))/(0.11-0.025))/(1+0.11)^DCF!$I$18-DCF!$L$10)/DCF!$L$11</f>
        <v/>
      </c>
      <c r="D23" s="48">
        <f>(SUMPRODUCT(DCF!$E$17:$I$17,1/(1+0.11)^DCF!$E$18:$I$18)+((DCF!$I$17*(1+0.03))/(0.11-0.03))/(1+0.11)^DCF!$I$18-DCF!$L$10)/DCF!$L$11</f>
        <v/>
      </c>
      <c r="E23" s="48">
        <f>(SUMPRODUCT(DCF!$E$17:$I$17,1/(1+0.11)^DCF!$E$18:$I$18)+((DCF!$I$17*(1+0.035))/(0.11-0.035))/(1+0.11)^DCF!$I$18-DCF!$L$10)/DCF!$L$11</f>
        <v/>
      </c>
      <c r="F23" s="48">
        <f>(SUMPRODUCT(DCF!$E$17:$I$17,1/(1+0.11)^DCF!$E$18:$I$18)+((DCF!$I$17*(1+0.04))/(0.11-0.04))/(1+0.11)^DCF!$I$18-DCF!$L$10)/DCF!$L$11</f>
        <v/>
      </c>
      <c r="G23" s="48">
        <f>(SUMPRODUCT(DCF!$E$17:$I$17,1/(1+0.11)^DCF!$E$18:$I$18)+((DCF!$I$17*(1+0.045))/(0.11-0.045))/(1+0.11)^DCF!$I$18-DCF!$L$10)/DCF!$L$11</f>
        <v/>
      </c>
    </row>
    <row r="24">
      <c r="B24" s="46" t="n">
        <v>0.115</v>
      </c>
      <c r="C24" s="47">
        <f>(SUMPRODUCT(DCF!$E$17:$I$17,1/(1+0.115)^DCF!$E$18:$I$18)+((DCF!$I$17*(1+0.025))/(0.115-0.025))/(1+0.115)^DCF!$I$18-DCF!$L$10)/DCF!$L$11</f>
        <v/>
      </c>
      <c r="D24" s="47">
        <f>(SUMPRODUCT(DCF!$E$17:$I$17,1/(1+0.115)^DCF!$E$18:$I$18)+((DCF!$I$17*(1+0.03))/(0.115-0.03))/(1+0.115)^DCF!$I$18-DCF!$L$10)/DCF!$L$11</f>
        <v/>
      </c>
      <c r="E24" s="47">
        <f>(SUMPRODUCT(DCF!$E$17:$I$17,1/(1+0.115)^DCF!$E$18:$I$18)+((DCF!$I$17*(1+0.035))/(0.115-0.035))/(1+0.115)^DCF!$I$18-DCF!$L$10)/DCF!$L$11</f>
        <v/>
      </c>
      <c r="F24" s="47">
        <f>(SUMPRODUCT(DCF!$E$17:$I$17,1/(1+0.115)^DCF!$E$18:$I$18)+((DCF!$I$17*(1+0.04))/(0.115-0.04))/(1+0.115)^DCF!$I$18-DCF!$L$10)/DCF!$L$11</f>
        <v/>
      </c>
      <c r="G24" s="47">
        <f>(SUMPRODUCT(DCF!$E$17:$I$17,1/(1+0.115)^DCF!$E$18:$I$18)+((DCF!$I$17*(1+0.045))/(0.115-0.045))/(1+0.115)^DCF!$I$18-DCF!$L$10)/DCF!$L$11</f>
        <v/>
      </c>
    </row>
    <row r="26">
      <c r="B26" s="49" t="inlineStr">
        <is>
          <t>註：敏感度表使用 DCF 分頁『目前情境』之 FCFF 與終年 EBITDA。切換情境(DCF!L2)後此表同步更新。</t>
        </is>
      </c>
    </row>
  </sheetData>
  <mergeCells count="1">
    <mergeCell ref="B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28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B1" s="1" t="inlineStr">
        <is>
          <t>Vertiv (VRT) — DCF 估值總結</t>
        </is>
      </c>
    </row>
    <row r="2">
      <c r="B2" s="3" t="inlineStr">
        <is>
          <t>目前情境見 DCF!L2（1熊/2基/3牛，預設 2 基準）· 切換後本頁同步更新</t>
        </is>
      </c>
    </row>
    <row r="4">
      <c r="B4" s="50" t="inlineStr">
        <is>
          <t>每股價值（終值倍數法）</t>
        </is>
      </c>
      <c r="D4" s="38">
        <f>DCF!D45</f>
        <v/>
      </c>
    </row>
    <row r="5">
      <c r="B5" s="51" t="inlineStr">
        <is>
          <t>每股價值（永續成長法）</t>
        </is>
      </c>
      <c r="D5" s="52">
        <f>DCF!D53</f>
        <v/>
      </c>
    </row>
    <row r="6">
      <c r="B6" s="53" t="inlineStr">
        <is>
          <t>現價</t>
        </is>
      </c>
      <c r="D6" s="54">
        <f>DCF!L12</f>
        <v/>
      </c>
    </row>
    <row r="7">
      <c r="B7" s="50" t="inlineStr">
        <is>
          <t>上漲/下跌空間</t>
        </is>
      </c>
      <c r="D7" s="40">
        <f>DCF!D45/DCF!L12-1</f>
        <v/>
      </c>
    </row>
    <row r="8">
      <c r="B8" s="53" t="inlineStr">
        <is>
          <t>企業價值 EV ($bn)</t>
        </is>
      </c>
      <c r="D8" s="41">
        <f>DCF!D41</f>
        <v/>
      </c>
    </row>
    <row r="9">
      <c r="B9" s="53" t="inlineStr">
        <is>
          <t>股權價值 ($bn)</t>
        </is>
      </c>
      <c r="D9" s="41">
        <f>DCF!D43</f>
        <v/>
      </c>
    </row>
    <row r="10">
      <c r="B10" s="55" t="inlineStr">
        <is>
          <t>DCF 隱含 EV/EBITDA (FY26E)</t>
        </is>
      </c>
      <c r="D10" s="56">
        <f>DCF!D54</f>
        <v/>
      </c>
    </row>
    <row r="11">
      <c r="B11" s="55" t="inlineStr">
        <is>
          <t>終值占 EV 比重</t>
        </is>
      </c>
      <c r="D11" s="57">
        <f>DCF!D55</f>
        <v/>
      </c>
    </row>
    <row r="12">
      <c r="B12" s="53" t="inlineStr">
        <is>
          <t>WACC</t>
        </is>
      </c>
      <c r="D12" s="58">
        <f>DCF!L3</f>
        <v/>
      </c>
    </row>
    <row r="13">
      <c r="B13" s="53" t="inlineStr">
        <is>
          <t>終值成長 g</t>
        </is>
      </c>
      <c r="D13" s="58">
        <f>DCF!L4</f>
        <v/>
      </c>
    </row>
    <row r="14">
      <c r="B14" s="53" t="inlineStr">
        <is>
          <t>終值 EV/EBITDA</t>
        </is>
      </c>
      <c r="D14" s="59">
        <f>DCF!L5</f>
        <v/>
      </c>
    </row>
    <row r="16">
      <c r="B16" s="27" t="inlineStr">
        <is>
          <t>Comps 交叉驗證（同業，資料約 2026/6）</t>
        </is>
      </c>
    </row>
    <row r="17">
      <c r="B17" s="12" t="inlineStr">
        <is>
          <t>同業 EV/EBITDA 中位（散熱相關）</t>
        </is>
      </c>
      <c r="D17" s="17" t="inlineStr">
        <is>
          <t>~23x</t>
        </is>
      </c>
      <c r="E17" s="60" t="n"/>
      <c r="F17" s="60" t="n"/>
      <c r="G17" s="60" t="n"/>
      <c r="H17" s="61" t="n"/>
    </row>
    <row r="18">
      <c r="B18" s="14" t="inlineStr">
        <is>
          <t>Vertiv 現行 EV/EBITDA</t>
        </is>
      </c>
      <c r="D18" s="10" t="inlineStr">
        <is>
          <t>~51x</t>
        </is>
      </c>
      <c r="E18" s="60" t="n"/>
      <c r="F18" s="60" t="n"/>
      <c r="G18" s="60" t="n"/>
      <c r="H18" s="61" t="n"/>
    </row>
    <row r="19">
      <c r="B19" s="12" t="inlineStr">
        <is>
          <t>同業 Fwd P/E 中位</t>
        </is>
      </c>
      <c r="D19" s="17" t="inlineStr">
        <is>
          <t>~28x</t>
        </is>
      </c>
      <c r="E19" s="60" t="n"/>
      <c r="F19" s="60" t="n"/>
      <c r="G19" s="60" t="n"/>
      <c r="H19" s="61" t="n"/>
    </row>
    <row r="20">
      <c r="B20" s="14" t="inlineStr">
        <is>
          <t>解讀</t>
        </is>
      </c>
      <c r="D20" s="10" t="inlineStr">
        <is>
          <t>DCF 隱含倍數應落在『同業中位 ~ Vertiv 溢價』之間；高於 51x 須檢視成長假設是否過樂觀</t>
        </is>
      </c>
      <c r="E20" s="60" t="n"/>
      <c r="F20" s="60" t="n"/>
      <c r="G20" s="60" t="n"/>
      <c r="H20" s="61" t="n"/>
    </row>
    <row r="23">
      <c r="B23" s="27" t="inlineStr">
        <is>
          <t>關鍵假設與風險</t>
        </is>
      </c>
    </row>
    <row r="24" ht="16" customHeight="1">
      <c r="B24" s="62" t="inlineStr">
        <is>
          <t>•  營收：FY26 +27%（指引中點 ~$13.75B）→ FY30 +9%；液冷segment 約 40% CAGR 為主要上行來源。</t>
        </is>
      </c>
    </row>
    <row r="25" ht="16" customHeight="1">
      <c r="B25" s="62" t="inlineStr">
        <is>
          <t>•  利潤率：EBIT 由 ~19% 擴張至 ~23%（營運槓桿 + 高階液冷組合）。</t>
        </is>
      </c>
    </row>
    <row r="26" ht="16" customHeight="1">
      <c r="B26" s="62" t="inlineStr">
        <is>
          <t>•  終值倍數 22x 為『正常化』後估計（Vertiv 現 ~51x 不可持續）；保守採同業偏高水準。</t>
        </is>
      </c>
    </row>
    <row r="27" ht="16" customHeight="1">
      <c r="B27" s="62" t="inlineStr">
        <is>
          <t>•  風險：① 雲端資本支出 2027–28 消化 ② 整併/價格競爭 ③ 電網瓶頸拖累建置 ④ 高估值對成長落空敏感。</t>
        </is>
      </c>
    </row>
    <row r="28" ht="16" customHeight="1">
      <c r="B28" s="62" t="inlineStr">
        <is>
          <t>•  代碼校正提醒：本檔為 VRT；台股同業 Auras=3324、AVC=3017。</t>
        </is>
      </c>
    </row>
  </sheetData>
  <mergeCells count="11">
    <mergeCell ref="B28:H28"/>
    <mergeCell ref="D20:H20"/>
    <mergeCell ref="B26:H26"/>
    <mergeCell ref="B27:H27"/>
    <mergeCell ref="B2:F2"/>
    <mergeCell ref="D19:H19"/>
    <mergeCell ref="B24:H24"/>
    <mergeCell ref="B1:F1"/>
    <mergeCell ref="B25:H25"/>
    <mergeCell ref="D18:H18"/>
    <mergeCell ref="D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2026-06-18T02:56:22Z</dcterms:created>
  <dcterms:modified xmlns:dcterms="http://purl.org/dc/terms/" xmlns:xsi="http://www.w3.org/2001/XMLSchema-instance" xsi:type="dcterms:W3CDTF">2026-06-18T02:56:22Z</dcterms:modified>
</cp:coreProperties>
</file>