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  <sheet xmlns:r="http://schemas.openxmlformats.org/officeDocument/2006/relationships"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$#,##0.00"/>
    <numFmt numFmtId="167" formatCode="$#,##0.0"/>
    <numFmt numFmtId="168" formatCode="+0.0%;(0.0%)"/>
    <numFmt numFmtId="169" formatCode="0.0"/>
  </numFmts>
  <fonts count="17">
    <font>
      <name val="Calibri"/>
      <family val="2"/>
      <color theme="1"/>
      <sz val="11"/>
      <scheme val="minor"/>
    </font>
    <font>
      <name val="Microsoft JhengHei"/>
      <b val="1"/>
      <color rgb="00FFFFFF"/>
      <sz val="12"/>
    </font>
    <font>
      <name val="Microsoft JhengHei"/>
      <color rgb="00000000"/>
      <sz val="10"/>
    </font>
    <font>
      <name val="Microsoft JhengHei"/>
      <color rgb="000000FF"/>
      <sz val="10"/>
    </font>
    <font>
      <name val="Microsoft JhengHei"/>
      <b val="1"/>
      <color rgb="00000000"/>
      <sz val="10"/>
    </font>
    <font>
      <name val="Microsoft JhengHei"/>
      <b val="1"/>
      <color rgb="00000000"/>
      <sz val="11"/>
    </font>
    <font>
      <name val="Microsoft JhengHei"/>
      <b val="1"/>
      <color rgb="00FFFFFF"/>
      <sz val="13"/>
    </font>
    <font>
      <name val="Microsoft JhengHei"/>
      <color rgb="00000000"/>
      <sz val="8"/>
    </font>
    <font>
      <name val="Microsoft JhengHei"/>
      <b val="1"/>
      <color rgb="00FFFFFF"/>
      <sz val="10"/>
    </font>
    <font>
      <name val="Microsoft JhengHei"/>
      <color rgb="00000000"/>
      <sz val="9"/>
    </font>
    <font>
      <name val="Microsoft JhengHei"/>
      <color rgb="00008000"/>
      <sz val="10"/>
    </font>
    <font>
      <name val="Microsoft JhengHei"/>
      <b val="1"/>
      <color rgb="00000000"/>
      <sz val="9"/>
    </font>
    <font>
      <name val="Microsoft JhengHei"/>
      <b val="1"/>
      <color rgb="000000FF"/>
      <sz val="10"/>
    </font>
    <font>
      <name val="Microsoft JhengHei"/>
      <b val="1"/>
      <color rgb="00FFFFFF"/>
      <sz val="11"/>
    </font>
    <font>
      <name val="Microsoft JhengHei"/>
      <b val="1"/>
      <color rgb="00FFFFFF"/>
      <sz val="9"/>
    </font>
    <font>
      <name val="Microsoft JhengHei"/>
      <b val="1"/>
      <color rgb="000000FF"/>
      <sz val="9"/>
    </font>
    <font>
      <name val="Microsoft JhengHei"/>
      <color rgb="000000FF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  <border>
      <left/>
      <right/>
      <top style="thin">
        <color rgb="009BAFC4"/>
      </top>
      <bottom/>
      <diagonal/>
    </border>
    <border>
      <left/>
      <right style="thin">
        <color rgb="009BAFC4"/>
      </right>
      <top style="thin">
        <color rgb="009BAFC4"/>
      </top>
      <bottom/>
      <diagonal/>
    </border>
    <border>
      <left/>
      <right style="thin">
        <color rgb="009BAFC4"/>
      </right>
      <top style="thin">
        <color rgb="009BAFC4"/>
      </top>
      <bottom style="thin">
        <color rgb="009BAFC4"/>
      </bottom>
      <diagonal/>
    </border>
    <border>
      <left style="thin">
        <color rgb="009BAFC4"/>
      </left>
      <right/>
      <top/>
      <bottom/>
      <diagonal/>
    </border>
    <border>
      <left/>
      <right style="thin">
        <color rgb="009BAFC4"/>
      </right>
      <top/>
      <bottom/>
      <diagonal/>
    </border>
    <border>
      <left style="thin">
        <color rgb="009BAFC4"/>
      </left>
      <right/>
      <top/>
      <bottom style="thin">
        <color rgb="009BAFC4"/>
      </bottom>
      <diagonal/>
    </border>
    <border>
      <left/>
      <right/>
      <top/>
      <bottom style="thin">
        <color rgb="009BAFC4"/>
      </bottom>
      <diagonal/>
    </border>
    <border>
      <left/>
      <right style="thin">
        <color rgb="009BAFC4"/>
      </right>
      <top/>
      <bottom style="thin">
        <color rgb="009BAFC4"/>
      </bottom>
      <diagonal/>
    </border>
    <border>
      <left/>
      <right/>
      <top style="thin">
        <color rgb="009BAFC4"/>
      </top>
      <bottom style="thin">
        <color rgb="009BAFC4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7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0" fillId="2" borderId="1" pivotButton="0" quotePrefix="0" xfId="0"/>
    <xf numFmtId="164" fontId="3" fillId="6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7" fontId="12" fillId="3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168" fontId="3" fillId="3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167" fontId="10" fillId="6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1" fontId="3" fillId="6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 wrapText="1"/>
    </xf>
    <xf numFmtId="1" fontId="1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7" fontId="4" fillId="4" borderId="1" applyAlignment="1" pivotButton="0" quotePrefix="0" xfId="0">
      <alignment horizontal="right" vertical="center"/>
    </xf>
    <xf numFmtId="169" fontId="3" fillId="3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166" fontId="5" fillId="5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 wrapText="1"/>
    </xf>
    <xf numFmtId="164" fontId="15" fillId="4" borderId="1" applyAlignment="1" pivotButton="0" quotePrefix="0" xfId="0">
      <alignment horizontal="center" vertical="center" wrapText="1"/>
    </xf>
    <xf numFmtId="166" fontId="2" fillId="6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8" fontId="16" fillId="3" borderId="1" applyAlignment="1" pivotButton="0" quotePrefix="0" xfId="0">
      <alignment horizontal="right" vertical="center"/>
    </xf>
    <xf numFmtId="164" fontId="16" fillId="3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wrapText="1"/>
    </xf>
    <xf numFmtId="164" fontId="1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167" fontId="3" fillId="3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valuation</author>
  </authors>
  <commentList>
    <comment ref="C6" authorId="0" shapeId="0">
      <text>
        <t>FY26E base from TSMC quarterly model</t>
      </text>
    </comment>
    <comment ref="L11" authorId="0" shapeId="0">
      <text>
        <t>1=Bear 2=Base 3=Bull</t>
      </text>
    </comment>
  </commentList>
</comments>
</file>

<file path=xl/comments/comment2.xml><?xml version="1.0" encoding="utf-8"?>
<comments xmlns="http://schemas.openxmlformats.org/spreadsheetml/2006/main">
  <authors>
    <author>valuation</author>
  </authors>
  <commentList>
    <comment ref="C3" authorId="0" shapeId="0">
      <text>
        <t>US 10Y ~4.3%</t>
      </text>
    </comment>
    <comment ref="C4" authorId="0" shapeId="0">
      <text>
        <t>TSM ADR ~1.1-1.2</t>
      </text>
    </comment>
    <comment ref="C5" authorId="0" shapeId="0">
      <text>
        <t>5.0%</t>
      </text>
    </comment>
    <comment ref="C12" authorId="0" shapeId="0">
      <text>
        <t>ADR ~$380/5</t>
      </text>
    </comment>
    <comment ref="C16" authorId="0" shapeId="0">
      <text>
        <t>net cash ~$65bn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6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" customWidth="1" min="10" max="10"/>
    <col width="18" customWidth="1" min="11" max="11"/>
    <col width="12" customWidth="1" min="12" max="12"/>
  </cols>
  <sheetData>
    <row r="1" ht="24" customHeight="1">
      <c r="B1" s="1" t="inlineStr">
        <is>
          <t>台積電 TSMC (TSM/2330.TW) — DCF 估值（US$,熊/基/牛情境）</t>
        </is>
      </c>
      <c r="K1" s="2" t="inlineStr">
        <is>
          <t>輸入 INPUTS</t>
        </is>
      </c>
      <c r="L1" s="3" t="n"/>
    </row>
    <row r="2">
      <c r="B2" s="4" t="inlineStr">
        <is>
          <t>單位 US$bn(每股除外)| 藍=輸入 黑=公式 綠=連結 | FY26E 為基期 | 改 L11 切換情境</t>
        </is>
      </c>
      <c r="K2" s="5" t="inlineStr">
        <is>
          <t>WACC(連結)</t>
        </is>
      </c>
      <c r="L2" s="6">
        <f>WACC!$C$22</f>
        <v/>
      </c>
    </row>
    <row r="3">
      <c r="K3" s="5" t="inlineStr">
        <is>
          <t>終值成長 g</t>
        </is>
      </c>
      <c r="L3" s="7">
        <f>CHOOSE($L$11,$C$62,$D$62,$E$62)</f>
        <v/>
      </c>
    </row>
    <row r="4">
      <c r="B4" s="8" t="inlineStr">
        <is>
          <t>現金流預測 PROJECTION (US$bn) — 目前情境</t>
        </is>
      </c>
      <c r="C4" s="9" t="n"/>
      <c r="D4" s="9" t="n"/>
      <c r="E4" s="9" t="n"/>
      <c r="F4" s="9" t="n"/>
      <c r="G4" s="9" t="n"/>
      <c r="H4" s="9" t="n"/>
      <c r="K4" s="5" t="inlineStr">
        <is>
          <t>稅率</t>
        </is>
      </c>
      <c r="L4" s="10" t="n">
        <v>0.15</v>
      </c>
    </row>
    <row r="5">
      <c r="B5" s="11" t="inlineStr">
        <is>
          <t>項目</t>
        </is>
      </c>
      <c r="C5" s="12" t="inlineStr">
        <is>
          <t>FY26E</t>
        </is>
      </c>
      <c r="D5" s="12" t="inlineStr">
        <is>
          <t>FY27E</t>
        </is>
      </c>
      <c r="E5" s="12" t="inlineStr">
        <is>
          <t>FY28E</t>
        </is>
      </c>
      <c r="F5" s="12" t="inlineStr">
        <is>
          <t>FY29E</t>
        </is>
      </c>
      <c r="G5" s="12" t="inlineStr">
        <is>
          <t>FY30E</t>
        </is>
      </c>
      <c r="H5" s="12" t="inlineStr">
        <is>
          <t>FY31E</t>
        </is>
      </c>
      <c r="K5" s="5" t="inlineStr">
        <is>
          <t>D&amp;A %營收</t>
        </is>
      </c>
      <c r="L5" s="10" t="n">
        <v>0.19</v>
      </c>
    </row>
    <row r="6">
      <c r="B6" s="13" t="inlineStr">
        <is>
          <t>營收 Revenue</t>
        </is>
      </c>
      <c r="C6" s="14" t="n">
        <v>163.6</v>
      </c>
      <c r="D6" s="15">
        <f>C6*(1+D7)</f>
        <v/>
      </c>
      <c r="E6" s="15">
        <f>D6*(1+E7)</f>
        <v/>
      </c>
      <c r="F6" s="15">
        <f>E6*(1+F7)</f>
        <v/>
      </c>
      <c r="G6" s="15">
        <f>F6*(1+G7)</f>
        <v/>
      </c>
      <c r="H6" s="15">
        <f>G6*(1+H7)</f>
        <v/>
      </c>
      <c r="K6" s="5" t="inlineStr">
        <is>
          <t>ΔNWC %增額</t>
        </is>
      </c>
      <c r="L6" s="10" t="n">
        <v>0.03</v>
      </c>
    </row>
    <row r="7">
      <c r="B7" s="16" t="inlineStr">
        <is>
          <t xml:space="preserve">  成長 %</t>
        </is>
      </c>
      <c r="C7" s="17" t="n">
        <v>0.319</v>
      </c>
      <c r="D7" s="18">
        <f>CHOOSE($L$11,D48,D49,D50)</f>
        <v/>
      </c>
      <c r="E7" s="18">
        <f>CHOOSE($L$11,E48,E49,E50)</f>
        <v/>
      </c>
      <c r="F7" s="18">
        <f>CHOOSE($L$11,F48,F49,F50)</f>
        <v/>
      </c>
      <c r="G7" s="18">
        <f>CHOOSE($L$11,G48,G49,G50)</f>
        <v/>
      </c>
      <c r="H7" s="18">
        <f>CHOOSE($L$11,H48,H49,H50)</f>
        <v/>
      </c>
      <c r="K7" s="5" t="inlineStr">
        <is>
          <t>淨現金 $bn</t>
        </is>
      </c>
      <c r="L7" s="19">
        <f>WACC!$C$17</f>
        <v/>
      </c>
    </row>
    <row r="8">
      <c r="B8" s="16" t="inlineStr">
        <is>
          <t>營業利益率 %</t>
        </is>
      </c>
      <c r="C8" s="20">
        <f>CHOOSE($L$11,C53,C54,C55)</f>
        <v/>
      </c>
      <c r="D8" s="20">
        <f>CHOOSE($L$11,D53,D54,D55)</f>
        <v/>
      </c>
      <c r="E8" s="20">
        <f>CHOOSE($L$11,E53,E54,E55)</f>
        <v/>
      </c>
      <c r="F8" s="20">
        <f>CHOOSE($L$11,F53,F54,F55)</f>
        <v/>
      </c>
      <c r="G8" s="20">
        <f>CHOOSE($L$11,G53,G54,G55)</f>
        <v/>
      </c>
      <c r="H8" s="20">
        <f>CHOOSE($L$11,H53,H54,H55)</f>
        <v/>
      </c>
      <c r="K8" s="5" t="inlineStr">
        <is>
          <t>股數 bn</t>
        </is>
      </c>
      <c r="L8" s="21">
        <f>WACC!$C$13</f>
        <v/>
      </c>
    </row>
    <row r="9">
      <c r="B9" s="13" t="inlineStr">
        <is>
          <t>EBIT</t>
        </is>
      </c>
      <c r="C9" s="15">
        <f>C6*C8</f>
        <v/>
      </c>
      <c r="D9" s="15">
        <f>D6*D8</f>
        <v/>
      </c>
      <c r="E9" s="15">
        <f>E6*E8</f>
        <v/>
      </c>
      <c r="F9" s="15">
        <f>F6*F8</f>
        <v/>
      </c>
      <c r="G9" s="15">
        <f>G6*G8</f>
        <v/>
      </c>
      <c r="H9" s="15">
        <f>H6*H8</f>
        <v/>
      </c>
      <c r="K9" s="5" t="inlineStr">
        <is>
          <t>ADR 比例(股/ADR)</t>
        </is>
      </c>
      <c r="L9" s="22" t="n">
        <v>5</v>
      </c>
    </row>
    <row r="10">
      <c r="B10" s="16" t="inlineStr">
        <is>
          <t xml:space="preserve">  減：稅</t>
        </is>
      </c>
      <c r="C10" s="23">
        <f>C9*$L$4</f>
        <v/>
      </c>
      <c r="D10" s="23">
        <f>D9*$L$4</f>
        <v/>
      </c>
      <c r="E10" s="23">
        <f>E9*$L$4</f>
        <v/>
      </c>
      <c r="F10" s="23">
        <f>F9*$L$4</f>
        <v/>
      </c>
      <c r="G10" s="23">
        <f>G9*$L$4</f>
        <v/>
      </c>
      <c r="H10" s="23">
        <f>H9*$L$4</f>
        <v/>
      </c>
      <c r="K10" s="5" t="inlineStr">
        <is>
          <t>現價/ADR $</t>
        </is>
      </c>
      <c r="L10" s="24" t="n">
        <v>380</v>
      </c>
    </row>
    <row r="11">
      <c r="B11" s="13" t="inlineStr">
        <is>
          <t>NOPAT</t>
        </is>
      </c>
      <c r="C11" s="15">
        <f>C9-C10</f>
        <v/>
      </c>
      <c r="D11" s="15">
        <f>D9-D10</f>
        <v/>
      </c>
      <c r="E11" s="15">
        <f>E9-E10</f>
        <v/>
      </c>
      <c r="F11" s="15">
        <f>F9-F10</f>
        <v/>
      </c>
      <c r="G11" s="15">
        <f>G9-G10</f>
        <v/>
      </c>
      <c r="H11" s="15">
        <f>H9-H10</f>
        <v/>
      </c>
      <c r="K11" s="25" t="inlineStr">
        <is>
          <t>情境(1熊2基3牛)</t>
        </is>
      </c>
      <c r="L11" s="26" t="n">
        <v>2</v>
      </c>
    </row>
    <row r="12">
      <c r="B12" s="16" t="inlineStr">
        <is>
          <t xml:space="preserve">  加：D&amp;A</t>
        </is>
      </c>
      <c r="C12" s="23">
        <f>C6*$L$5</f>
        <v/>
      </c>
      <c r="D12" s="23">
        <f>D6*$L$5</f>
        <v/>
      </c>
      <c r="E12" s="23">
        <f>E6*$L$5</f>
        <v/>
      </c>
      <c r="F12" s="23">
        <f>F6*$L$5</f>
        <v/>
      </c>
      <c r="G12" s="23">
        <f>G6*$L$5</f>
        <v/>
      </c>
      <c r="H12" s="23">
        <f>H6*$L$5</f>
        <v/>
      </c>
    </row>
    <row r="13">
      <c r="B13" s="16" t="inlineStr">
        <is>
          <t xml:space="preserve">  減：Capex(%營收)</t>
        </is>
      </c>
      <c r="C13" s="20">
        <f>CHOOSE($L$11,C58,C59,C60)</f>
        <v/>
      </c>
      <c r="D13" s="20">
        <f>CHOOSE($L$11,D58,D59,D60)</f>
        <v/>
      </c>
      <c r="E13" s="20">
        <f>CHOOSE($L$11,E58,E59,E60)</f>
        <v/>
      </c>
      <c r="F13" s="20">
        <f>CHOOSE($L$11,F58,F59,F60)</f>
        <v/>
      </c>
      <c r="G13" s="20">
        <f>CHOOSE($L$11,G58,G59,G60)</f>
        <v/>
      </c>
      <c r="H13" s="20">
        <f>CHOOSE($L$11,H58,H59,H60)</f>
        <v/>
      </c>
    </row>
    <row r="14">
      <c r="B14" s="16" t="inlineStr">
        <is>
          <t xml:space="preserve">  Capex $</t>
        </is>
      </c>
      <c r="C14" s="23">
        <f>C6*C13</f>
        <v/>
      </c>
      <c r="D14" s="23">
        <f>D6*D13</f>
        <v/>
      </c>
      <c r="E14" s="23">
        <f>E6*E13</f>
        <v/>
      </c>
      <c r="F14" s="23">
        <f>F6*F13</f>
        <v/>
      </c>
      <c r="G14" s="23">
        <f>G6*G13</f>
        <v/>
      </c>
      <c r="H14" s="23">
        <f>H6*H13</f>
        <v/>
      </c>
    </row>
    <row r="15">
      <c r="B15" s="16" t="inlineStr">
        <is>
          <t xml:space="preserve">  減：ΔNWC</t>
        </is>
      </c>
      <c r="C15" s="23" t="n">
        <v>0</v>
      </c>
      <c r="D15" s="23">
        <f>(D6-C6)*$L$6</f>
        <v/>
      </c>
      <c r="E15" s="23">
        <f>(E6-D6)*$L$6</f>
        <v/>
      </c>
      <c r="F15" s="23">
        <f>(F6-E6)*$L$6</f>
        <v/>
      </c>
      <c r="G15" s="23">
        <f>(G6-F6)*$L$6</f>
        <v/>
      </c>
      <c r="H15" s="23">
        <f>(H6-G6)*$L$6</f>
        <v/>
      </c>
    </row>
    <row r="16">
      <c r="B16" s="27" t="inlineStr">
        <is>
          <t>無槓桿 FCFF</t>
        </is>
      </c>
      <c r="C16" s="28">
        <f>C11+C12-C14-C15</f>
        <v/>
      </c>
      <c r="D16" s="28">
        <f>D11+D12-D14-D15</f>
        <v/>
      </c>
      <c r="E16" s="28">
        <f>E11+E12-E14-E15</f>
        <v/>
      </c>
      <c r="F16" s="28">
        <f>F11+F12-F14-F15</f>
        <v/>
      </c>
      <c r="G16" s="28">
        <f>G11+G12-G14-G15</f>
        <v/>
      </c>
      <c r="H16" s="28">
        <f>H11+H12-H14-H15</f>
        <v/>
      </c>
    </row>
    <row r="17">
      <c r="B17" s="16" t="inlineStr">
        <is>
          <t>期數(期中)</t>
        </is>
      </c>
      <c r="D17" s="29" t="n">
        <v>0.5</v>
      </c>
      <c r="E17" s="29" t="n">
        <v>1.5</v>
      </c>
      <c r="F17" s="29" t="n">
        <v>2.5</v>
      </c>
      <c r="G17" s="29" t="n">
        <v>3.5</v>
      </c>
      <c r="H17" s="29" t="n">
        <v>4.5</v>
      </c>
    </row>
    <row r="18">
      <c r="B18" s="16" t="inlineStr">
        <is>
          <t>折現因子</t>
        </is>
      </c>
      <c r="D18" s="30">
        <f>1/(1+$L$2)^D17</f>
        <v/>
      </c>
      <c r="E18" s="30">
        <f>1/(1+$L$2)^E17</f>
        <v/>
      </c>
      <c r="F18" s="30">
        <f>1/(1+$L$2)^F17</f>
        <v/>
      </c>
      <c r="G18" s="30">
        <f>1/(1+$L$2)^G17</f>
        <v/>
      </c>
      <c r="H18" s="30">
        <f>1/(1+$L$2)^H17</f>
        <v/>
      </c>
    </row>
    <row r="19">
      <c r="B19" s="13" t="inlineStr">
        <is>
          <t>FCFF 現值</t>
        </is>
      </c>
      <c r="D19" s="15">
        <f>D16*D18</f>
        <v/>
      </c>
      <c r="E19" s="15">
        <f>E16*E18</f>
        <v/>
      </c>
      <c r="F19" s="15">
        <f>F16*F18</f>
        <v/>
      </c>
      <c r="G19" s="15">
        <f>G16*G18</f>
        <v/>
      </c>
      <c r="H19" s="15">
        <f>H16*H18</f>
        <v/>
      </c>
    </row>
    <row r="21">
      <c r="B21" s="8" t="inlineStr">
        <is>
          <t>估值 VALUATION (US$bn)</t>
        </is>
      </c>
      <c r="C21" s="9" t="n"/>
      <c r="D21" s="9" t="n"/>
      <c r="E21" s="9" t="n"/>
      <c r="F21" s="9" t="n"/>
      <c r="G21" s="9" t="n"/>
      <c r="H21" s="9" t="n"/>
    </row>
    <row r="22">
      <c r="B22" s="16" t="inlineStr">
        <is>
          <t>終值 TV(永續)</t>
        </is>
      </c>
      <c r="C22" s="23">
        <f>H16*(1+$L$3)/($L$2-$L$3)</f>
        <v/>
      </c>
    </row>
    <row r="23">
      <c r="B23" s="16" t="inlineStr">
        <is>
          <t>終值現值</t>
        </is>
      </c>
      <c r="C23" s="23">
        <f>C22/(1+$L$2)^H17</f>
        <v/>
      </c>
    </row>
    <row r="24">
      <c r="B24" s="16" t="inlineStr">
        <is>
          <t>顯性期 PV 合計</t>
        </is>
      </c>
      <c r="C24" s="23">
        <f>SUM(D19:H19)</f>
        <v/>
      </c>
    </row>
    <row r="25">
      <c r="B25" s="27" t="inlineStr">
        <is>
          <t>企業價值 EV</t>
        </is>
      </c>
      <c r="C25" s="28">
        <f>C24+C23</f>
        <v/>
      </c>
    </row>
    <row r="26">
      <c r="B26" s="16" t="inlineStr">
        <is>
          <t>加：淨現金</t>
        </is>
      </c>
      <c r="C26" s="23">
        <f>$L$7</f>
        <v/>
      </c>
    </row>
    <row r="27">
      <c r="B27" s="27" t="inlineStr">
        <is>
          <t>股權價值</t>
        </is>
      </c>
      <c r="C27" s="28">
        <f>C25+C26</f>
        <v/>
      </c>
    </row>
    <row r="28">
      <c r="B28" s="16" t="inlineStr">
        <is>
          <t>每股價值(US$)</t>
        </is>
      </c>
      <c r="C28" s="31">
        <f>C27/$L$8</f>
        <v/>
      </c>
    </row>
    <row r="29">
      <c r="B29" s="32" t="inlineStr">
        <is>
          <t>每 ADR 價值(US$)</t>
        </is>
      </c>
      <c r="C29" s="33">
        <f>C28*$L$9</f>
        <v/>
      </c>
    </row>
    <row r="30">
      <c r="B30" s="16" t="inlineStr">
        <is>
          <t>現價/ADR(US$)</t>
        </is>
      </c>
      <c r="C30" s="31">
        <f>$L$10</f>
        <v/>
      </c>
    </row>
    <row r="31">
      <c r="B31" s="32" t="inlineStr">
        <is>
          <t>上漲/(下跌)</t>
        </is>
      </c>
      <c r="C31" s="34">
        <f>C29/C30-1</f>
        <v/>
      </c>
    </row>
    <row r="32">
      <c r="B32" s="16" t="inlineStr">
        <is>
          <t>檢查:TV 占 EV</t>
        </is>
      </c>
      <c r="C32" s="20">
        <f>C23/C25</f>
        <v/>
      </c>
    </row>
    <row r="34">
      <c r="B34" s="8" t="inlineStr">
        <is>
          <t>敏感度:每 ADR 價值(US$)— WACC × 終值成長 g(目前情境)</t>
        </is>
      </c>
      <c r="C34" s="9" t="n"/>
      <c r="D34" s="9" t="n"/>
      <c r="E34" s="9" t="n"/>
      <c r="F34" s="9" t="n"/>
      <c r="G34" s="9" t="n"/>
      <c r="H34" s="9" t="n"/>
    </row>
    <row r="35">
      <c r="B35" s="35" t="inlineStr">
        <is>
          <t>WACC↓/g→</t>
        </is>
      </c>
      <c r="D35" s="36">
        <f>$L$3+(-0.01)</f>
        <v/>
      </c>
      <c r="E35" s="36">
        <f>$L$3+(-0.005)</f>
        <v/>
      </c>
      <c r="F35" s="36">
        <f>$L$3+(0)</f>
        <v/>
      </c>
      <c r="G35" s="36">
        <f>$L$3+(0.005)</f>
        <v/>
      </c>
      <c r="H35" s="36">
        <f>$L$3+(0.01)</f>
        <v/>
      </c>
    </row>
    <row r="36">
      <c r="C36" s="36">
        <f>$L$2+(-0.01)</f>
        <v/>
      </c>
      <c r="D36" s="37">
        <f>((SUMPRODUCT($D$16:$H$16,1/(1+$C36)^$D$17:$H$17)+($H$16*(1+D$35)/($C36-D$35))/(1+$C36)^$H$17+$L$7)/$L$8)*$L$9</f>
        <v/>
      </c>
      <c r="E36" s="38">
        <f>((SUMPRODUCT($D$16:$H$16,1/(1+$C36)^$D$17:$H$17)+($H$16*(1+E$35)/($C36-E$35))/(1+$C36)^$H$17+$L$7)/$L$8)*$L$9</f>
        <v/>
      </c>
      <c r="F36" s="37">
        <f>((SUMPRODUCT($D$16:$H$16,1/(1+$C36)^$D$17:$H$17)+($H$16*(1+F$35)/($C36-F$35))/(1+$C36)^$H$17+$L$7)/$L$8)*$L$9</f>
        <v/>
      </c>
      <c r="G36" s="38">
        <f>((SUMPRODUCT($D$16:$H$16,1/(1+$C36)^$D$17:$H$17)+($H$16*(1+G$35)/($C36-G$35))/(1+$C36)^$H$17+$L$7)/$L$8)*$L$9</f>
        <v/>
      </c>
      <c r="H36" s="37">
        <f>((SUMPRODUCT($D$16:$H$16,1/(1+$C36)^$D$17:$H$17)+($H$16*(1+H$35)/($C36-H$35))/(1+$C36)^$H$17+$L$7)/$L$8)*$L$9</f>
        <v/>
      </c>
    </row>
    <row r="37">
      <c r="C37" s="36">
        <f>$L$2+(-0.005)</f>
        <v/>
      </c>
      <c r="D37" s="38">
        <f>((SUMPRODUCT($D$16:$H$16,1/(1+$C37)^$D$17:$H$17)+($H$16*(1+D$35)/($C37-D$35))/(1+$C37)^$H$17+$L$7)/$L$8)*$L$9</f>
        <v/>
      </c>
      <c r="E37" s="37">
        <f>((SUMPRODUCT($D$16:$H$16,1/(1+$C37)^$D$17:$H$17)+($H$16*(1+E$35)/($C37-E$35))/(1+$C37)^$H$17+$L$7)/$L$8)*$L$9</f>
        <v/>
      </c>
      <c r="F37" s="38">
        <f>((SUMPRODUCT($D$16:$H$16,1/(1+$C37)^$D$17:$H$17)+($H$16*(1+F$35)/($C37-F$35))/(1+$C37)^$H$17+$L$7)/$L$8)*$L$9</f>
        <v/>
      </c>
      <c r="G37" s="37">
        <f>((SUMPRODUCT($D$16:$H$16,1/(1+$C37)^$D$17:$H$17)+($H$16*(1+G$35)/($C37-G$35))/(1+$C37)^$H$17+$L$7)/$L$8)*$L$9</f>
        <v/>
      </c>
      <c r="H37" s="38">
        <f>((SUMPRODUCT($D$16:$H$16,1/(1+$C37)^$D$17:$H$17)+($H$16*(1+H$35)/($C37-H$35))/(1+$C37)^$H$17+$L$7)/$L$8)*$L$9</f>
        <v/>
      </c>
    </row>
    <row r="38">
      <c r="C38" s="36">
        <f>$L$2+(0)</f>
        <v/>
      </c>
      <c r="D38" s="37">
        <f>((SUMPRODUCT($D$16:$H$16,1/(1+$C38)^$D$17:$H$17)+($H$16*(1+D$35)/($C38-D$35))/(1+$C38)^$H$17+$L$7)/$L$8)*$L$9</f>
        <v/>
      </c>
      <c r="E38" s="38">
        <f>((SUMPRODUCT($D$16:$H$16,1/(1+$C38)^$D$17:$H$17)+($H$16*(1+E$35)/($C38-E$35))/(1+$C38)^$H$17+$L$7)/$L$8)*$L$9</f>
        <v/>
      </c>
      <c r="F38" s="39">
        <f>((SUMPRODUCT($D$16:$H$16,1/(1+$C38)^$D$17:$H$17)+($H$16*(1+F$35)/($C38-F$35))/(1+$C38)^$H$17+$L$7)/$L$8)*$L$9</f>
        <v/>
      </c>
      <c r="G38" s="38">
        <f>((SUMPRODUCT($D$16:$H$16,1/(1+$C38)^$D$17:$H$17)+($H$16*(1+G$35)/($C38-G$35))/(1+$C38)^$H$17+$L$7)/$L$8)*$L$9</f>
        <v/>
      </c>
      <c r="H38" s="37">
        <f>((SUMPRODUCT($D$16:$H$16,1/(1+$C38)^$D$17:$H$17)+($H$16*(1+H$35)/($C38-H$35))/(1+$C38)^$H$17+$L$7)/$L$8)*$L$9</f>
        <v/>
      </c>
    </row>
    <row r="39">
      <c r="C39" s="36">
        <f>$L$2+(0.005)</f>
        <v/>
      </c>
      <c r="D39" s="38">
        <f>((SUMPRODUCT($D$16:$H$16,1/(1+$C39)^$D$17:$H$17)+($H$16*(1+D$35)/($C39-D$35))/(1+$C39)^$H$17+$L$7)/$L$8)*$L$9</f>
        <v/>
      </c>
      <c r="E39" s="37">
        <f>((SUMPRODUCT($D$16:$H$16,1/(1+$C39)^$D$17:$H$17)+($H$16*(1+E$35)/($C39-E$35))/(1+$C39)^$H$17+$L$7)/$L$8)*$L$9</f>
        <v/>
      </c>
      <c r="F39" s="38">
        <f>((SUMPRODUCT($D$16:$H$16,1/(1+$C39)^$D$17:$H$17)+($H$16*(1+F$35)/($C39-F$35))/(1+$C39)^$H$17+$L$7)/$L$8)*$L$9</f>
        <v/>
      </c>
      <c r="G39" s="37">
        <f>((SUMPRODUCT($D$16:$H$16,1/(1+$C39)^$D$17:$H$17)+($H$16*(1+G$35)/($C39-G$35))/(1+$C39)^$H$17+$L$7)/$L$8)*$L$9</f>
        <v/>
      </c>
      <c r="H39" s="38">
        <f>((SUMPRODUCT($D$16:$H$16,1/(1+$C39)^$D$17:$H$17)+($H$16*(1+H$35)/($C39-H$35))/(1+$C39)^$H$17+$L$7)/$L$8)*$L$9</f>
        <v/>
      </c>
    </row>
    <row r="40">
      <c r="C40" s="36">
        <f>$L$2+(0.01)</f>
        <v/>
      </c>
      <c r="D40" s="37">
        <f>((SUMPRODUCT($D$16:$H$16,1/(1+$C40)^$D$17:$H$17)+($H$16*(1+D$35)/($C40-D$35))/(1+$C40)^$H$17+$L$7)/$L$8)*$L$9</f>
        <v/>
      </c>
      <c r="E40" s="38">
        <f>((SUMPRODUCT($D$16:$H$16,1/(1+$C40)^$D$17:$H$17)+($H$16*(1+E$35)/($C40-E$35))/(1+$C40)^$H$17+$L$7)/$L$8)*$L$9</f>
        <v/>
      </c>
      <c r="F40" s="37">
        <f>((SUMPRODUCT($D$16:$H$16,1/(1+$C40)^$D$17:$H$17)+($H$16*(1+F$35)/($C40-F$35))/(1+$C40)^$H$17+$L$7)/$L$8)*$L$9</f>
        <v/>
      </c>
      <c r="G40" s="38">
        <f>((SUMPRODUCT($D$16:$H$16,1/(1+$C40)^$D$17:$H$17)+($H$16*(1+G$35)/($C40-G$35))/(1+$C40)^$H$17+$L$7)/$L$8)*$L$9</f>
        <v/>
      </c>
      <c r="H40" s="37">
        <f>((SUMPRODUCT($D$16:$H$16,1/(1+$C40)^$D$17:$H$17)+($H$16*(1+H$35)/($C40-H$35))/(1+$C40)^$H$17+$L$7)/$L$8)*$L$9</f>
        <v/>
      </c>
    </row>
    <row r="45">
      <c r="B45" s="8" t="inlineStr">
        <is>
          <t>情境假設 SCENARIO ASSUMPTIONS（可編輯）</t>
        </is>
      </c>
      <c r="C45" s="9" t="n"/>
      <c r="D45" s="9" t="n"/>
      <c r="E45" s="9" t="n"/>
      <c r="F45" s="9" t="n"/>
      <c r="G45" s="9" t="n"/>
      <c r="H45" s="9" t="n"/>
    </row>
    <row r="47">
      <c r="B47" s="25" t="inlineStr">
        <is>
          <t>營收成長 % (FY27→31)</t>
        </is>
      </c>
      <c r="D47" s="35" t="inlineStr">
        <is>
          <t>FY27E</t>
        </is>
      </c>
      <c r="E47" s="35" t="inlineStr">
        <is>
          <t>FY28E</t>
        </is>
      </c>
      <c r="F47" s="35" t="inlineStr">
        <is>
          <t>FY29E</t>
        </is>
      </c>
      <c r="G47" s="35" t="inlineStr">
        <is>
          <t>FY30E</t>
        </is>
      </c>
      <c r="H47" s="35" t="inlineStr">
        <is>
          <t>FY31E</t>
        </is>
      </c>
    </row>
    <row r="48">
      <c r="B48" s="5" t="inlineStr">
        <is>
          <t>熊 Bear</t>
        </is>
      </c>
      <c r="D48" s="40" t="n">
        <v>0.14</v>
      </c>
      <c r="E48" s="40" t="n">
        <v>0.1</v>
      </c>
      <c r="F48" s="40" t="n">
        <v>0.08</v>
      </c>
      <c r="G48" s="40" t="n">
        <v>0.06</v>
      </c>
      <c r="H48" s="40" t="n">
        <v>0.05</v>
      </c>
    </row>
    <row r="49">
      <c r="B49" s="5" t="inlineStr">
        <is>
          <t>基 Base</t>
        </is>
      </c>
      <c r="D49" s="40" t="n">
        <v>0.2</v>
      </c>
      <c r="E49" s="40" t="n">
        <v>0.16</v>
      </c>
      <c r="F49" s="40" t="n">
        <v>0.13</v>
      </c>
      <c r="G49" s="40" t="n">
        <v>0.1</v>
      </c>
      <c r="H49" s="40" t="n">
        <v>0.08</v>
      </c>
    </row>
    <row r="50">
      <c r="B50" s="5" t="inlineStr">
        <is>
          <t>牛 Bull</t>
        </is>
      </c>
      <c r="D50" s="40" t="n">
        <v>0.26</v>
      </c>
      <c r="E50" s="40" t="n">
        <v>0.22</v>
      </c>
      <c r="F50" s="40" t="n">
        <v>0.17</v>
      </c>
      <c r="G50" s="40" t="n">
        <v>0.13</v>
      </c>
      <c r="H50" s="40" t="n">
        <v>0.1</v>
      </c>
    </row>
    <row r="52">
      <c r="B52" s="25" t="inlineStr">
        <is>
          <t>營業利益率 % (FY26→31)</t>
        </is>
      </c>
      <c r="C52" s="35" t="inlineStr">
        <is>
          <t>FY26E</t>
        </is>
      </c>
      <c r="D52" s="35" t="inlineStr">
        <is>
          <t>FY27E</t>
        </is>
      </c>
      <c r="E52" s="35" t="inlineStr">
        <is>
          <t>FY28E</t>
        </is>
      </c>
      <c r="F52" s="35" t="inlineStr">
        <is>
          <t>FY29E</t>
        </is>
      </c>
      <c r="G52" s="35" t="inlineStr">
        <is>
          <t>FY30E</t>
        </is>
      </c>
      <c r="H52" s="35" t="inlineStr">
        <is>
          <t>FY31E</t>
        </is>
      </c>
    </row>
    <row r="53">
      <c r="B53" s="5" t="inlineStr">
        <is>
          <t>熊 Bear</t>
        </is>
      </c>
      <c r="C53" s="41" t="n">
        <v>0.57</v>
      </c>
      <c r="D53" s="41" t="n">
        <v>0.54</v>
      </c>
      <c r="E53" s="41" t="n">
        <v>0.54</v>
      </c>
      <c r="F53" s="41" t="n">
        <v>0.545</v>
      </c>
      <c r="G53" s="41" t="n">
        <v>0.55</v>
      </c>
      <c r="H53" s="41" t="n">
        <v>0.55</v>
      </c>
    </row>
    <row r="54">
      <c r="B54" s="5" t="inlineStr">
        <is>
          <t>基 Base</t>
        </is>
      </c>
      <c r="C54" s="41" t="n">
        <v>0.57</v>
      </c>
      <c r="D54" s="41" t="n">
        <v>0.5600000000000001</v>
      </c>
      <c r="E54" s="41" t="n">
        <v>0.5649999999999999</v>
      </c>
      <c r="F54" s="41" t="n">
        <v>0.57</v>
      </c>
      <c r="G54" s="41" t="n">
        <v>0.57</v>
      </c>
      <c r="H54" s="41" t="n">
        <v>0.57</v>
      </c>
    </row>
    <row r="55">
      <c r="B55" s="5" t="inlineStr">
        <is>
          <t>牛 Bull</t>
        </is>
      </c>
      <c r="C55" s="41" t="n">
        <v>0.57</v>
      </c>
      <c r="D55" s="41" t="n">
        <v>0.57</v>
      </c>
      <c r="E55" s="41" t="n">
        <v>0.58</v>
      </c>
      <c r="F55" s="41" t="n">
        <v>0.585</v>
      </c>
      <c r="G55" s="41" t="n">
        <v>0.59</v>
      </c>
      <c r="H55" s="41" t="n">
        <v>0.59</v>
      </c>
    </row>
    <row r="57">
      <c r="B57" s="25" t="inlineStr">
        <is>
          <t>Capex % 營收 (FY26→31)</t>
        </is>
      </c>
      <c r="C57" s="35" t="inlineStr">
        <is>
          <t>FY26E</t>
        </is>
      </c>
      <c r="D57" s="35" t="inlineStr">
        <is>
          <t>FY27E</t>
        </is>
      </c>
      <c r="E57" s="35" t="inlineStr">
        <is>
          <t>FY28E</t>
        </is>
      </c>
      <c r="F57" s="35" t="inlineStr">
        <is>
          <t>FY29E</t>
        </is>
      </c>
      <c r="G57" s="35" t="inlineStr">
        <is>
          <t>FY30E</t>
        </is>
      </c>
      <c r="H57" s="35" t="inlineStr">
        <is>
          <t>FY31E</t>
        </is>
      </c>
    </row>
    <row r="58">
      <c r="B58" s="5" t="inlineStr">
        <is>
          <t>熊 Bear</t>
        </is>
      </c>
      <c r="C58" s="41" t="n">
        <v>0.33</v>
      </c>
      <c r="D58" s="41" t="n">
        <v>0.33</v>
      </c>
      <c r="E58" s="41" t="n">
        <v>0.32</v>
      </c>
      <c r="F58" s="41" t="n">
        <v>0.31</v>
      </c>
      <c r="G58" s="41" t="n">
        <v>0.3</v>
      </c>
      <c r="H58" s="41" t="n">
        <v>0.3</v>
      </c>
    </row>
    <row r="59">
      <c r="B59" s="5" t="inlineStr">
        <is>
          <t>基 Base</t>
        </is>
      </c>
      <c r="C59" s="41" t="n">
        <v>0.33</v>
      </c>
      <c r="D59" s="41" t="n">
        <v>0.32</v>
      </c>
      <c r="E59" s="41" t="n">
        <v>0.3</v>
      </c>
      <c r="F59" s="41" t="n">
        <v>0.28</v>
      </c>
      <c r="G59" s="41" t="n">
        <v>0.27</v>
      </c>
      <c r="H59" s="41" t="n">
        <v>0.26</v>
      </c>
    </row>
    <row r="60">
      <c r="B60" s="5" t="inlineStr">
        <is>
          <t>牛 Bull</t>
        </is>
      </c>
      <c r="C60" s="41" t="n">
        <v>0.33</v>
      </c>
      <c r="D60" s="41" t="n">
        <v>0.31</v>
      </c>
      <c r="E60" s="41" t="n">
        <v>0.29</v>
      </c>
      <c r="F60" s="41" t="n">
        <v>0.27</v>
      </c>
      <c r="G60" s="41" t="n">
        <v>0.25</v>
      </c>
      <c r="H60" s="41" t="n">
        <v>0.24</v>
      </c>
    </row>
    <row r="61">
      <c r="B61" s="25" t="inlineStr">
        <is>
          <t>終值成長 g (熊/基/牛)</t>
        </is>
      </c>
    </row>
    <row r="62">
      <c r="B62" s="42" t="inlineStr">
        <is>
          <t xml:space="preserve">  g →</t>
        </is>
      </c>
      <c r="C62" s="43" t="n">
        <v>0.025</v>
      </c>
      <c r="D62" s="43" t="n">
        <v>0.035</v>
      </c>
      <c r="E62" s="43" t="n">
        <v>0.04</v>
      </c>
    </row>
    <row r="64">
      <c r="B64" s="44" t="inlineStr">
        <is>
          <t>註:情境驅動 營收成長/利潤率/Capex/終值g;WACC 固定(其變化見上方敏感度表)。中心格=基準應≈C29。</t>
        </is>
      </c>
      <c r="C64" s="45" t="n"/>
      <c r="D64" s="45" t="n"/>
      <c r="E64" s="45" t="n"/>
      <c r="F64" s="45" t="n"/>
      <c r="G64" s="45" t="n"/>
      <c r="H64" s="46" t="n"/>
    </row>
    <row r="65">
      <c r="B65" s="47" t="n"/>
      <c r="C65" s="48" t="n"/>
      <c r="D65" s="48" t="n"/>
      <c r="E65" s="48" t="n"/>
      <c r="F65" s="48" t="n"/>
      <c r="G65" s="48" t="n"/>
      <c r="H65" s="49" t="n"/>
    </row>
  </sheetData>
  <mergeCells count="8">
    <mergeCell ref="B1:H1"/>
    <mergeCell ref="B4:H4"/>
    <mergeCell ref="B21:H21"/>
    <mergeCell ref="K1:L1"/>
    <mergeCell ref="B2:H2"/>
    <mergeCell ref="B64:H65"/>
    <mergeCell ref="B34:H34"/>
    <mergeCell ref="B45:H4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3" customWidth="1" min="3" max="3"/>
  </cols>
  <sheetData>
    <row r="1">
      <c r="B1" s="50" t="inlineStr">
        <is>
          <t>TSMC — WACC (CAPM, 淨現金)</t>
        </is>
      </c>
    </row>
    <row r="3">
      <c r="B3" s="51" t="inlineStr">
        <is>
          <t>無風險利率 10Y UST</t>
        </is>
      </c>
      <c r="C3" s="52" t="n">
        <v>0.043</v>
      </c>
    </row>
    <row r="4">
      <c r="B4" s="51" t="inlineStr">
        <is>
          <t>Beta</t>
        </is>
      </c>
      <c r="C4" s="53" t="n">
        <v>1.15</v>
      </c>
    </row>
    <row r="5">
      <c r="B5" s="51" t="inlineStr">
        <is>
          <t>股權風險溢酬 ERP</t>
        </is>
      </c>
      <c r="C5" s="52" t="n">
        <v>0.05</v>
      </c>
    </row>
    <row r="6">
      <c r="B6" s="27" t="inlineStr">
        <is>
          <t>權益成本</t>
        </is>
      </c>
      <c r="C6" s="54">
        <f>C3+C4*C5</f>
        <v/>
      </c>
    </row>
    <row r="8">
      <c r="B8" s="51" t="inlineStr">
        <is>
          <t>稅前負債成本</t>
        </is>
      </c>
      <c r="C8" s="52" t="n">
        <v>0.025</v>
      </c>
    </row>
    <row r="9">
      <c r="B9" s="51" t="inlineStr">
        <is>
          <t>稅率</t>
        </is>
      </c>
      <c r="C9" s="52" t="n">
        <v>0.15</v>
      </c>
    </row>
    <row r="10">
      <c r="B10" s="16" t="inlineStr">
        <is>
          <t>稅後負債成本</t>
        </is>
      </c>
      <c r="C10" s="20">
        <f>C8*(1-C9)</f>
        <v/>
      </c>
    </row>
    <row r="12">
      <c r="B12" s="51" t="inlineStr">
        <is>
          <t>現價/股(US$,ADR/5)</t>
        </is>
      </c>
      <c r="C12" s="55" t="n">
        <v>76</v>
      </c>
    </row>
    <row r="13">
      <c r="B13" s="51" t="inlineStr">
        <is>
          <t>股數 (bn)</t>
        </is>
      </c>
      <c r="C13" s="53" t="n">
        <v>25.93</v>
      </c>
    </row>
    <row r="14">
      <c r="B14" s="16" t="inlineStr">
        <is>
          <t>市值</t>
        </is>
      </c>
      <c r="C14" s="23">
        <f>C12*C13</f>
        <v/>
      </c>
    </row>
    <row r="15">
      <c r="B15" s="51" t="inlineStr">
        <is>
          <t>總負債</t>
        </is>
      </c>
      <c r="C15" s="56" t="n">
        <v>25</v>
      </c>
    </row>
    <row r="16">
      <c r="B16" s="51" t="inlineStr">
        <is>
          <t>現金</t>
        </is>
      </c>
      <c r="C16" s="56" t="n">
        <v>90</v>
      </c>
    </row>
    <row r="17">
      <c r="B17" s="27" t="inlineStr">
        <is>
          <t>淨現金</t>
        </is>
      </c>
      <c r="C17" s="28">
        <f>C16-C15</f>
        <v/>
      </c>
    </row>
    <row r="19">
      <c r="B19" s="16" t="inlineStr">
        <is>
          <t>權益權重</t>
        </is>
      </c>
      <c r="C19" s="20">
        <f>C14/(C14+C15)</f>
        <v/>
      </c>
    </row>
    <row r="20">
      <c r="B20" s="16" t="inlineStr">
        <is>
          <t>負債權重</t>
        </is>
      </c>
      <c r="C20" s="20">
        <f>C15/(C14+C15)</f>
        <v/>
      </c>
    </row>
    <row r="22">
      <c r="B22" s="32" t="inlineStr">
        <is>
          <t>WACC</t>
        </is>
      </c>
      <c r="C22" s="57">
        <f>C6*C19+C10*C20</f>
        <v/>
      </c>
    </row>
  </sheetData>
  <mergeCells count="1">
    <mergeCell ref="B1:D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0" t="inlineStr">
        <is>
          <t>晶圓代工/半導體 同業比較(概略,資料約 2026/6,估計值)</t>
        </is>
      </c>
    </row>
    <row r="3">
      <c r="A3" s="11" t="inlineStr">
        <is>
          <t>公司</t>
        </is>
      </c>
      <c r="B3" s="12" t="inlineStr">
        <is>
          <t>代碼</t>
        </is>
      </c>
      <c r="C3" s="12" t="inlineStr">
        <is>
          <t>市值(US$bn)</t>
        </is>
      </c>
      <c r="D3" s="12" t="inlineStr">
        <is>
          <t>營收YoY</t>
        </is>
      </c>
      <c r="E3" s="12" t="inlineStr">
        <is>
          <t>毛利率</t>
        </is>
      </c>
      <c r="F3" s="12" t="inlineStr">
        <is>
          <t>Fwd P/E</t>
        </is>
      </c>
      <c r="G3" s="12" t="inlineStr">
        <is>
          <t>EV/EBITDA</t>
        </is>
      </c>
    </row>
    <row r="4">
      <c r="A4" s="58" t="inlineStr">
        <is>
          <t>台積電 TSMC</t>
        </is>
      </c>
      <c r="B4" s="59" t="inlineStr">
        <is>
          <t>TSM</t>
        </is>
      </c>
      <c r="C4" s="59" t="inlineStr">
        <is>
          <t>~985</t>
        </is>
      </c>
      <c r="D4" s="59" t="inlineStr">
        <is>
          <t>+35%</t>
        </is>
      </c>
      <c r="E4" s="59" t="inlineStr">
        <is>
          <t>66%</t>
        </is>
      </c>
      <c r="F4" s="59" t="inlineStr">
        <is>
          <t>~20x</t>
        </is>
      </c>
      <c r="G4" s="59" t="inlineStr">
        <is>
          <t>~12x</t>
        </is>
      </c>
    </row>
    <row r="5">
      <c r="A5" s="5" t="inlineStr">
        <is>
          <t>Samsung(代工+記憶體)</t>
        </is>
      </c>
      <c r="B5" s="60" t="inlineStr">
        <is>
          <t>005930.KS</t>
        </is>
      </c>
      <c r="C5" s="60" t="inlineStr">
        <is>
          <t>~430</t>
        </is>
      </c>
      <c r="D5" s="60" t="inlineStr">
        <is>
          <t>+10%</t>
        </is>
      </c>
      <c r="E5" s="60" t="inlineStr">
        <is>
          <t>~38%</t>
        </is>
      </c>
      <c r="F5" s="60" t="inlineStr">
        <is>
          <t>~13x</t>
        </is>
      </c>
      <c r="G5" s="60" t="inlineStr">
        <is>
          <t>~5x</t>
        </is>
      </c>
    </row>
    <row r="6">
      <c r="A6" s="61" t="inlineStr">
        <is>
          <t>UMC 聯電</t>
        </is>
      </c>
      <c r="B6" s="62" t="inlineStr">
        <is>
          <t>2303.TW</t>
        </is>
      </c>
      <c r="C6" s="62" t="inlineStr">
        <is>
          <t>~18</t>
        </is>
      </c>
      <c r="D6" s="62" t="inlineStr">
        <is>
          <t>+5%</t>
        </is>
      </c>
      <c r="E6" s="62" t="inlineStr">
        <is>
          <t>~32%</t>
        </is>
      </c>
      <c r="F6" s="62" t="inlineStr">
        <is>
          <t>~13x</t>
        </is>
      </c>
      <c r="G6" s="62" t="inlineStr">
        <is>
          <t>~5x</t>
        </is>
      </c>
    </row>
    <row r="7">
      <c r="A7" s="5" t="inlineStr">
        <is>
          <t>GlobalFoundries</t>
        </is>
      </c>
      <c r="B7" s="60" t="inlineStr">
        <is>
          <t>GFS</t>
        </is>
      </c>
      <c r="C7" s="60" t="inlineStr">
        <is>
          <t>~24</t>
        </is>
      </c>
      <c r="D7" s="60" t="inlineStr">
        <is>
          <t>+6%</t>
        </is>
      </c>
      <c r="E7" s="60" t="inlineStr">
        <is>
          <t>~25%</t>
        </is>
      </c>
      <c r="F7" s="60" t="inlineStr">
        <is>
          <t>~18x</t>
        </is>
      </c>
      <c r="G7" s="60" t="inlineStr">
        <is>
          <t>~8x</t>
        </is>
      </c>
    </row>
    <row r="8">
      <c r="A8" s="61" t="inlineStr">
        <is>
          <t>SMIC 中芯</t>
        </is>
      </c>
      <c r="B8" s="62" t="inlineStr">
        <is>
          <t>0981.HK</t>
        </is>
      </c>
      <c r="C8" s="62" t="inlineStr">
        <is>
          <t>~75</t>
        </is>
      </c>
      <c r="D8" s="62" t="inlineStr">
        <is>
          <t>+20%</t>
        </is>
      </c>
      <c r="E8" s="62" t="inlineStr">
        <is>
          <t>~22%</t>
        </is>
      </c>
      <c r="F8" s="62" t="inlineStr">
        <is>
          <t>~35x</t>
        </is>
      </c>
      <c r="G8" s="62" t="inlineStr">
        <is>
          <t>~9x</t>
        </is>
      </c>
    </row>
    <row r="9">
      <c r="A9" s="5" t="inlineStr">
        <is>
          <t>Intel(含晶圓)</t>
        </is>
      </c>
      <c r="B9" s="60" t="inlineStr">
        <is>
          <t>INTC</t>
        </is>
      </c>
      <c r="C9" s="60" t="inlineStr">
        <is>
          <t>~120</t>
        </is>
      </c>
      <c r="D9" s="60" t="inlineStr">
        <is>
          <t>-3%</t>
        </is>
      </c>
      <c r="E9" s="60" t="inlineStr">
        <is>
          <t>~32%</t>
        </is>
      </c>
      <c r="F9" s="60" t="inlineStr">
        <is>
          <t>~25x</t>
        </is>
      </c>
      <c r="G9" s="60" t="inlineStr">
        <is>
          <t>~8x</t>
        </is>
      </c>
    </row>
    <row r="11">
      <c r="A11" s="63" t="inlineStr">
        <is>
          <t>解讀:TSMC 毛利率 66% 遠高於同業(22–38%)+ 技術領先,Fwd P/E ~20x / EV/EBITDA ~12x 溢價由獲利品質與 AI 領導地位支撐。</t>
        </is>
      </c>
      <c r="B11" s="64" t="n"/>
      <c r="C11" s="64" t="n"/>
      <c r="D11" s="64" t="n"/>
      <c r="E11" s="64" t="n"/>
      <c r="F11" s="64" t="n"/>
      <c r="G11" s="3" t="n"/>
    </row>
    <row r="12">
      <c r="A12" s="44" t="inlineStr">
        <is>
          <t>純代工可比者少(Samsung/Intel 為綜合體);倍數為概略估計,發布前以 FactSet/Bloomberg 校正。</t>
        </is>
      </c>
      <c r="B12" s="64" t="n"/>
      <c r="C12" s="64" t="n"/>
      <c r="D12" s="64" t="n"/>
      <c r="E12" s="64" t="n"/>
      <c r="F12" s="64" t="n"/>
      <c r="G12" s="3" t="n"/>
    </row>
  </sheetData>
  <mergeCells count="3">
    <mergeCell ref="A11:G11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2026-06-18T03:39:46Z</dcterms:created>
  <dcterms:modified xmlns:dcterms="http://purl.org/dc/terms/" xmlns:xsi="http://www.w3.org/2001/XMLSchema-instance" xsi:type="dcterms:W3CDTF">2026-06-18T03:39:46Z</dcterms:modified>
</cp:coreProperties>
</file>