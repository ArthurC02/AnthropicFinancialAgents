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ctual vs Cons vs Prior" sheetId="2" state="visible" r:id="rId2"/>
    <sheet xmlns:r="http://schemas.openxmlformats.org/officeDocument/2006/relationships" name="Assumption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+0.0%;(0.0%)"/>
    <numFmt numFmtId="166" formatCode="0.0%"/>
  </numFmts>
  <fonts count="12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color rgb="00000000"/>
      <sz val="8"/>
    </font>
    <font>
      <name val="Microsoft JhengHei"/>
      <b val="1"/>
      <color rgb="00FFFFFF"/>
      <sz val="11"/>
    </font>
    <font>
      <name val="Microsoft JhengHei"/>
      <b val="1"/>
      <color rgb="00FFFFFF"/>
      <sz val="9"/>
    </font>
    <font>
      <name val="Microsoft JhengHei"/>
      <b val="1"/>
      <color rgb="00000000"/>
      <sz val="10"/>
    </font>
    <font>
      <name val="Microsoft JhengHei"/>
      <b val="1"/>
      <color rgb="000000FF"/>
      <sz val="10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b val="1"/>
      <color rgb="00000000"/>
      <sz val="11"/>
    </font>
    <font>
      <name val="Microsoft JhengHei"/>
      <b val="1"/>
      <color rgb="00FFFFFF"/>
      <sz val="13"/>
    </font>
    <font>
      <name val="Microsoft JhengHei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65" fontId="8" fillId="3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2" fontId="8" fillId="3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wrapText="1"/>
    </xf>
    <xf numFmtId="4" fontId="9" fillId="5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8" fillId="3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2" borderId="0" pivotButton="0" quotePrefix="0" xfId="0"/>
    <xf numFmtId="0" fontId="11" fillId="0" borderId="0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earnings-reviewer</author>
  </authors>
  <commentList>
    <comment ref="B6" authorId="0" shapeId="0">
      <text>
        <t>ACTUAL Q1'26: US$35.90bn (NT$1,134.10bn), +40.6% YoY, +6.4% QoQ. Source: TSMC 6-K 2026-04-16</t>
      </text>
    </comment>
    <comment ref="C6" authorId="0" shapeId="0">
      <text>
        <t>Q2'26 GUIDANCE midpoint of US$39.0-40.2bn. Source: TSMC Q1'26 call</t>
      </text>
    </comment>
    <comment ref="D6" authorId="0" shapeId="0">
      <text>
        <t>ESTIMATE: +8.0% QoQ (seasonal AI/HPC strength)</t>
      </text>
    </comment>
    <comment ref="E6" authorId="0" shapeId="0">
      <text>
        <t>ESTIMATE: +6.0% QoQ</t>
      </text>
    </comment>
    <comment ref="B7" authorId="0" shapeId="0">
      <text>
        <t>ACTUAL +6.4% QoQ</t>
      </text>
    </comment>
    <comment ref="F7" authorId="0" shapeId="0">
      <text>
        <t>vs FY2025 base ~US$124bn (approx; verify) → guide '&gt;30%'</t>
      </text>
    </comment>
    <comment ref="B8" authorId="0" shapeId="0">
      <text>
        <t>ACTUAL +40.6% YoY (US$)</t>
      </text>
    </comment>
    <comment ref="B9" authorId="0" shapeId="0">
      <text>
        <t>ACTUAL 66.2% (+390bps QoQ, +740bps YoY); beat top of 63-65% guide by ~120bps</t>
      </text>
    </comment>
    <comment ref="C9" authorId="0" shapeId="0">
      <text>
        <t>Q2 GUIDANCE midpoint 65.5-67.5%</t>
      </text>
    </comment>
    <comment ref="D9" authorId="0" shapeId="0">
      <text>
        <t>ESTIMATE: N2 ramp + overseas dilution begins H2'26</t>
      </text>
    </comment>
    <comment ref="E9" authorId="0" shapeId="0">
      <text>
        <t>ESTIMATE: wider N2/overseas dilution</t>
      </text>
    </comment>
    <comment ref="B11" authorId="0" shapeId="0">
      <text>
        <t>ACTUAL 58.1%</t>
      </text>
    </comment>
    <comment ref="C11" authorId="0" shapeId="0">
      <text>
        <t>Q2 GUIDANCE midpoint 56.5-58.5%</t>
      </text>
    </comment>
    <comment ref="D11" authorId="0" shapeId="0">
      <text>
        <t>ESTIMATE</t>
      </text>
    </comment>
    <comment ref="E11" authorId="0" shapeId="0">
      <text>
        <t>ESTIMATE</t>
      </text>
    </comment>
    <comment ref="B12" authorId="0" shapeId="0">
      <text>
        <t>ACTUAL implied (NT$1,134.10/US$35.90)</t>
      </text>
    </comment>
    <comment ref="C12" authorId="0" shapeId="0">
      <text>
        <t>Q2 guide FX assumption 31.7</t>
      </text>
    </comment>
    <comment ref="D12" authorId="0" shapeId="0">
      <text>
        <t>Q2 guide FX assumption 31.7</t>
      </text>
    </comment>
    <comment ref="E12" authorId="0" shapeId="0">
      <text>
        <t>Q2 guide FX assumption 31.7</t>
      </text>
    </comment>
    <comment ref="B14" authorId="0" shapeId="0">
      <text>
        <t>ACTUAL 50.5%</t>
      </text>
    </comment>
    <comment ref="C14" authorId="0" shapeId="0">
      <text>
        <t>ESTIMATE</t>
      </text>
    </comment>
    <comment ref="D14" authorId="0" shapeId="0">
      <text>
        <t>ESTIMATE</t>
      </text>
    </comment>
    <comment ref="E14" authorId="0" shapeId="0">
      <text>
        <t>ESTIMATE</t>
      </text>
    </comment>
    <comment ref="B16" authorId="0" shapeId="0">
      <text>
        <t>~25.93bn ordinary shares; 1 ADR = 5 shares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台積電 TSMC (2330.TW / TSM) — Q1 2026 季度估計模型</t>
        </is>
      </c>
    </row>
    <row r="2">
      <c r="A2" s="2" t="inlineStr">
        <is>
          <t>實際發布 2026-04-16 | 營收/利潤率以 US$ 計;EPS 以 NT$（含 ADR US$）| 藍=輸入(實際/指引/假設) 黑=公式 | H2'26 為估計</t>
        </is>
      </c>
    </row>
    <row r="4">
      <c r="A4" s="3" t="inlineStr">
        <is>
          <t>損益預測 INCOME STATEMENT</t>
        </is>
      </c>
      <c r="B4" s="4" t="n"/>
      <c r="C4" s="4" t="n"/>
      <c r="D4" s="4" t="n"/>
      <c r="E4" s="4" t="n"/>
      <c r="F4" s="4" t="n"/>
    </row>
    <row r="5">
      <c r="A5" s="5" t="inlineStr">
        <is>
          <t>項目</t>
        </is>
      </c>
      <c r="B5" s="6" t="inlineStr">
        <is>
          <t>Q1'26A</t>
        </is>
      </c>
      <c r="C5" s="6" t="inlineStr">
        <is>
          <t>Q2'26E</t>
        </is>
      </c>
      <c r="D5" s="6" t="inlineStr">
        <is>
          <t>Q3'26E</t>
        </is>
      </c>
      <c r="E5" s="6" t="inlineStr">
        <is>
          <t>Q4'26E</t>
        </is>
      </c>
      <c r="F5" s="6" t="inlineStr">
        <is>
          <t>FY2026E</t>
        </is>
      </c>
    </row>
    <row r="6">
      <c r="A6" s="7" t="inlineStr">
        <is>
          <t>營收 Revenue (US$bn)</t>
        </is>
      </c>
      <c r="B6" s="8" t="n">
        <v>35.9</v>
      </c>
      <c r="C6" s="8" t="n">
        <v>39.6</v>
      </c>
      <c r="D6" s="8" t="n">
        <v>42.77</v>
      </c>
      <c r="E6" s="8" t="n">
        <v>45.33</v>
      </c>
      <c r="F6" s="9">
        <f>SUM(B6:E6)</f>
        <v/>
      </c>
    </row>
    <row r="7">
      <c r="A7" s="10" t="inlineStr">
        <is>
          <t xml:space="preserve">  QoQ %</t>
        </is>
      </c>
      <c r="B7" s="11" t="n">
        <v>0.064</v>
      </c>
      <c r="C7" s="12">
        <f>C6/B6-1</f>
        <v/>
      </c>
      <c r="D7" s="12">
        <f>D6/C6-1</f>
        <v/>
      </c>
      <c r="E7" s="12">
        <f>E6/D6-1</f>
        <v/>
      </c>
      <c r="F7" s="12">
        <f>F6/124.0-1</f>
        <v/>
      </c>
    </row>
    <row r="8">
      <c r="A8" s="10" t="inlineStr">
        <is>
          <t xml:space="preserve">  YoY %</t>
        </is>
      </c>
      <c r="B8" s="11" t="n">
        <v>0.406</v>
      </c>
      <c r="F8" s="12">
        <f>F7</f>
        <v/>
      </c>
    </row>
    <row r="9">
      <c r="A9" s="7" t="inlineStr">
        <is>
          <t>毛利率 Gross Margin %</t>
        </is>
      </c>
      <c r="B9" s="13" t="n">
        <v>0.662</v>
      </c>
      <c r="C9" s="13" t="n">
        <v>0.665</v>
      </c>
      <c r="D9" s="13" t="n">
        <v>0.655</v>
      </c>
      <c r="E9" s="13" t="n">
        <v>0.65</v>
      </c>
      <c r="F9" s="14">
        <f>SUMPRODUCT(B6:E6,B9:E9)/F6</f>
        <v/>
      </c>
    </row>
    <row r="10">
      <c r="A10" s="10" t="inlineStr">
        <is>
          <t>毛利 Gross Profit (US$bn)</t>
        </is>
      </c>
      <c r="B10" s="15">
        <f>B6*B9</f>
        <v/>
      </c>
      <c r="C10" s="15">
        <f>C6*C9</f>
        <v/>
      </c>
      <c r="D10" s="15">
        <f>D6*D9</f>
        <v/>
      </c>
      <c r="E10" s="15">
        <f>E6*E9</f>
        <v/>
      </c>
      <c r="F10" s="15">
        <f>F6*F9</f>
        <v/>
      </c>
    </row>
    <row r="11">
      <c r="A11" s="7" t="inlineStr">
        <is>
          <t>營業利益率 Op Margin %</t>
        </is>
      </c>
      <c r="B11" s="13" t="n">
        <v>0.581</v>
      </c>
      <c r="C11" s="13" t="n">
        <v>0.575</v>
      </c>
      <c r="D11" s="13" t="n">
        <v>0.5679999999999999</v>
      </c>
      <c r="E11" s="13" t="n">
        <v>0.5629999999999999</v>
      </c>
      <c r="F11" s="14">
        <f>SUMPRODUCT(B6:E6,B11:E11)/F6</f>
        <v/>
      </c>
    </row>
    <row r="12">
      <c r="A12" s="10" t="inlineStr">
        <is>
          <t>匯率 USD/TWD</t>
        </is>
      </c>
      <c r="B12" s="16" t="n">
        <v>31.6</v>
      </c>
      <c r="C12" s="16" t="n">
        <v>31.7</v>
      </c>
      <c r="D12" s="16" t="n">
        <v>31.7</v>
      </c>
      <c r="E12" s="16" t="n">
        <v>31.7</v>
      </c>
      <c r="F12" s="17">
        <f>SUMPRODUCT(B6:E6,B12:E12)/F6</f>
        <v/>
      </c>
    </row>
    <row r="13">
      <c r="A13" s="10" t="inlineStr">
        <is>
          <t>營收 Revenue (NT$bn)</t>
        </is>
      </c>
      <c r="B13" s="18">
        <f>B6*B12</f>
        <v/>
      </c>
      <c r="C13" s="18">
        <f>C6*C12</f>
        <v/>
      </c>
      <c r="D13" s="18">
        <f>D6*D12</f>
        <v/>
      </c>
      <c r="E13" s="18">
        <f>E6*E12</f>
        <v/>
      </c>
      <c r="F13" s="18">
        <f>SUM(B13:E13)</f>
        <v/>
      </c>
    </row>
    <row r="14">
      <c r="A14" s="7" t="inlineStr">
        <is>
          <t>淨利率 Net Margin %</t>
        </is>
      </c>
      <c r="B14" s="13" t="n">
        <v>0.505</v>
      </c>
      <c r="C14" s="13" t="n">
        <v>0.495</v>
      </c>
      <c r="D14" s="13" t="n">
        <v>0.49</v>
      </c>
      <c r="E14" s="13" t="n">
        <v>0.485</v>
      </c>
      <c r="F14" s="14">
        <f>SUMPRODUCT(B13:E13,B14:E14)/F13</f>
        <v/>
      </c>
    </row>
    <row r="15">
      <c r="A15" s="19" t="inlineStr">
        <is>
          <t>淨利 Net Income (NT$bn)</t>
        </is>
      </c>
      <c r="B15" s="20">
        <f>B13*B14</f>
        <v/>
      </c>
      <c r="C15" s="20">
        <f>C13*C14</f>
        <v/>
      </c>
      <c r="D15" s="20">
        <f>D13*D14</f>
        <v/>
      </c>
      <c r="E15" s="20">
        <f>E13*E14</f>
        <v/>
      </c>
      <c r="F15" s="20">
        <f>SUM(B15:E15)</f>
        <v/>
      </c>
    </row>
    <row r="16">
      <c r="A16" s="10" t="inlineStr">
        <is>
          <t>流通股數 Shares (bn)</t>
        </is>
      </c>
      <c r="B16" s="16" t="n">
        <v>25.93</v>
      </c>
      <c r="C16" s="16" t="n">
        <v>25.93</v>
      </c>
      <c r="D16" s="16" t="n">
        <v>25.93</v>
      </c>
      <c r="E16" s="16" t="n">
        <v>25.93</v>
      </c>
      <c r="F16" s="16" t="n">
        <v>25.93</v>
      </c>
    </row>
    <row r="17">
      <c r="A17" s="21" t="inlineStr">
        <is>
          <t>EPS (NT$)</t>
        </is>
      </c>
      <c r="B17" s="22">
        <f>B15/B16</f>
        <v/>
      </c>
      <c r="C17" s="22">
        <f>C15/C16</f>
        <v/>
      </c>
      <c r="D17" s="22">
        <f>D15/D16</f>
        <v/>
      </c>
      <c r="E17" s="22">
        <f>E15/E16</f>
        <v/>
      </c>
      <c r="F17" s="22">
        <f>F15/B16</f>
        <v/>
      </c>
    </row>
    <row r="18">
      <c r="A18" s="7" t="inlineStr">
        <is>
          <t>EPS / ADR (US$)</t>
        </is>
      </c>
      <c r="B18" s="23">
        <f>B17*5/B12</f>
        <v/>
      </c>
      <c r="C18" s="23">
        <f>C17*5/C12</f>
        <v/>
      </c>
      <c r="D18" s="23">
        <f>D17*5/D12</f>
        <v/>
      </c>
      <c r="E18" s="23">
        <f>E17*5/E12</f>
        <v/>
      </c>
      <c r="F18" s="23">
        <f>F17*5/F12</f>
        <v/>
      </c>
    </row>
    <row r="20">
      <c r="A20" s="3" t="inlineStr">
        <is>
          <t>Q1'26 營收組合 REVENUE MIX (ACTUAL)</t>
        </is>
      </c>
      <c r="B20" s="4" t="n"/>
      <c r="C20" s="4" t="n"/>
      <c r="D20" s="4" t="n"/>
      <c r="E20" s="4" t="n"/>
      <c r="F20" s="4" t="n"/>
    </row>
    <row r="21">
      <c r="A21" s="19" t="inlineStr">
        <is>
          <t>平台 By Platform</t>
        </is>
      </c>
      <c r="D21" s="19" t="inlineStr">
        <is>
          <t>技術節點 By Node (% wafer rev)</t>
        </is>
      </c>
    </row>
    <row r="22">
      <c r="A22" s="10" t="inlineStr">
        <is>
          <t xml:space="preserve">  HPC</t>
        </is>
      </c>
      <c r="B22" s="24" t="n">
        <v>0.61</v>
      </c>
      <c r="D22" s="10" t="inlineStr">
        <is>
          <t xml:space="preserve">  3nm (N3)</t>
        </is>
      </c>
      <c r="E22" s="24" t="n">
        <v>0.25</v>
      </c>
    </row>
    <row r="23">
      <c r="A23" s="10" t="inlineStr">
        <is>
          <t xml:space="preserve">  智慧型手機 Smartphone</t>
        </is>
      </c>
      <c r="B23" s="24" t="n">
        <v>0.26</v>
      </c>
      <c r="D23" s="10" t="inlineStr">
        <is>
          <t xml:space="preserve">  5nm (N5)</t>
        </is>
      </c>
      <c r="E23" s="24" t="n">
        <v>0.36</v>
      </c>
    </row>
    <row r="24">
      <c r="A24" s="10" t="inlineStr">
        <is>
          <t xml:space="preserve">  IoT</t>
        </is>
      </c>
      <c r="B24" s="24" t="n">
        <v>0.06</v>
      </c>
      <c r="D24" s="10" t="inlineStr">
        <is>
          <t xml:space="preserve">  7nm</t>
        </is>
      </c>
      <c r="E24" s="24" t="n">
        <v>0.13</v>
      </c>
    </row>
    <row r="25">
      <c r="A25" s="10" t="inlineStr">
        <is>
          <t xml:space="preserve">  車用 Auto</t>
        </is>
      </c>
      <c r="B25" s="24" t="n">
        <v>0.04</v>
      </c>
      <c r="D25" s="10" t="inlineStr">
        <is>
          <t xml:space="preserve">  先進(≤7nm) Advanced</t>
        </is>
      </c>
      <c r="E25" s="24" t="n">
        <v>0.74</v>
      </c>
    </row>
    <row r="26">
      <c r="A26" s="10" t="inlineStr">
        <is>
          <t xml:space="preserve">  DCE</t>
        </is>
      </c>
      <c r="B26" s="24" t="n">
        <v>0.01</v>
      </c>
    </row>
    <row r="27">
      <c r="A27" s="10" t="inlineStr">
        <is>
          <t xml:space="preserve">  其他 Other</t>
        </is>
      </c>
      <c r="B27" s="24" t="n">
        <v>0.02</v>
      </c>
    </row>
  </sheetData>
  <mergeCells count="4">
    <mergeCell ref="A20:F20"/>
    <mergeCell ref="A2:H2"/>
    <mergeCell ref="A4:F4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25" t="inlineStr">
        <is>
          <t>Q1 2026:實際 vs. 市場預期 vs. 前次指引</t>
        </is>
      </c>
    </row>
    <row r="3">
      <c r="A3" s="3" t="inlineStr">
        <is>
          <t>Q1'26 結果 RESULTS</t>
        </is>
      </c>
      <c r="B3" s="4" t="n"/>
      <c r="C3" s="4" t="n"/>
      <c r="D3" s="4" t="n"/>
      <c r="E3" s="4" t="n"/>
      <c r="F3" s="4" t="n"/>
    </row>
    <row r="4">
      <c r="A4" s="5" t="inlineStr">
        <is>
          <t>指標 Metric</t>
        </is>
      </c>
      <c r="B4" s="6" t="inlineStr">
        <is>
          <t>前次指引
(Jan'26)</t>
        </is>
      </c>
      <c r="C4" s="6" t="inlineStr">
        <is>
          <t>市場預期
Consensus</t>
        </is>
      </c>
      <c r="D4" s="6" t="inlineStr">
        <is>
          <t>實際
Actual</t>
        </is>
      </c>
      <c r="E4" s="6" t="inlineStr">
        <is>
          <t>實際 vs 指引</t>
        </is>
      </c>
      <c r="F4" s="6" t="inlineStr">
        <is>
          <t>實際 vs 預期</t>
        </is>
      </c>
    </row>
    <row r="5">
      <c r="A5" s="19" t="inlineStr">
        <is>
          <t>營收 Revenue (US$bn)</t>
        </is>
      </c>
      <c r="B5" s="26" t="inlineStr">
        <is>
          <t>34.6–35.8</t>
        </is>
      </c>
      <c r="C5" s="26" t="inlineStr">
        <is>
          <t>35.5</t>
        </is>
      </c>
      <c r="D5" s="26" t="inlineStr">
        <is>
          <t>35.90</t>
        </is>
      </c>
      <c r="E5" s="27" t="inlineStr">
        <is>
          <t>高於上緣</t>
        </is>
      </c>
      <c r="F5" s="27" t="inlineStr">
        <is>
          <t>+1.1%</t>
        </is>
      </c>
    </row>
    <row r="6">
      <c r="A6" s="19" t="inlineStr">
        <is>
          <t>毛利率 Gross Margin</t>
        </is>
      </c>
      <c r="B6" s="26" t="inlineStr">
        <is>
          <t>63–65%</t>
        </is>
      </c>
      <c r="C6" s="26" t="inlineStr">
        <is>
          <t>~64%</t>
        </is>
      </c>
      <c r="D6" s="26" t="inlineStr">
        <is>
          <t>66.2%</t>
        </is>
      </c>
      <c r="E6" s="27" t="inlineStr">
        <is>
          <t>+120bps(vs上緣)</t>
        </is>
      </c>
      <c r="F6" s="27" t="inlineStr">
        <is>
          <t>+~220bps</t>
        </is>
      </c>
    </row>
    <row r="7">
      <c r="A7" s="19" t="inlineStr">
        <is>
          <t>營業利益率 Op Margin</t>
        </is>
      </c>
      <c r="B7" s="26" t="inlineStr">
        <is>
          <t>—</t>
        </is>
      </c>
      <c r="C7" s="26" t="inlineStr">
        <is>
          <t>—</t>
        </is>
      </c>
      <c r="D7" s="26" t="inlineStr">
        <is>
          <t>58.1%</t>
        </is>
      </c>
      <c r="E7" s="27" t="inlineStr">
        <is>
          <t>高於指引</t>
        </is>
      </c>
      <c r="F7" s="26" t="inlineStr">
        <is>
          <t>—</t>
        </is>
      </c>
    </row>
    <row r="8">
      <c r="A8" s="19" t="inlineStr">
        <is>
          <t>EPS (NT$)</t>
        </is>
      </c>
      <c r="B8" s="26" t="inlineStr">
        <is>
          <t>(無指引)</t>
        </is>
      </c>
      <c r="C8" s="26" t="inlineStr">
        <is>
          <t>20.88</t>
        </is>
      </c>
      <c r="D8" s="26" t="inlineStr">
        <is>
          <t>22.08</t>
        </is>
      </c>
      <c r="E8" s="26" t="inlineStr">
        <is>
          <t>—</t>
        </is>
      </c>
      <c r="F8" s="27" t="inlineStr">
        <is>
          <t>+5.7%</t>
        </is>
      </c>
    </row>
    <row r="9">
      <c r="A9" s="19" t="inlineStr">
        <is>
          <t>EPS / ADR (US$)</t>
        </is>
      </c>
      <c r="B9" s="26" t="inlineStr">
        <is>
          <t>—</t>
        </is>
      </c>
      <c r="C9" s="26" t="inlineStr">
        <is>
          <t>3.26</t>
        </is>
      </c>
      <c r="D9" s="26" t="inlineStr">
        <is>
          <t>3.49</t>
        </is>
      </c>
      <c r="E9" s="26" t="inlineStr">
        <is>
          <t>—</t>
        </is>
      </c>
      <c r="F9" s="27" t="inlineStr">
        <is>
          <t>+7.1%</t>
        </is>
      </c>
    </row>
    <row r="10">
      <c r="A10" s="19" t="inlineStr">
        <is>
          <t>淨利 Net Income (NT$bn)</t>
        </is>
      </c>
      <c r="B10" s="26" t="inlineStr">
        <is>
          <t>—</t>
        </is>
      </c>
      <c r="C10" s="26" t="inlineStr">
        <is>
          <t>—</t>
        </is>
      </c>
      <c r="D10" s="26" t="inlineStr">
        <is>
          <t>572.48</t>
        </is>
      </c>
      <c r="E10" s="26" t="inlineStr">
        <is>
          <t>—</t>
        </is>
      </c>
      <c r="F10" s="27" t="inlineStr">
        <is>
          <t>+58% YoY</t>
        </is>
      </c>
    </row>
    <row r="12">
      <c r="A12" s="3" t="inlineStr">
        <is>
          <t>Q2'26 指引 vs. 市場預期 GUIDANCE vs CONSENSUS</t>
        </is>
      </c>
      <c r="B12" s="4" t="n"/>
      <c r="C12" s="4" t="n"/>
      <c r="D12" s="4" t="n"/>
      <c r="E12" s="4" t="n"/>
      <c r="F12" s="4" t="n"/>
    </row>
    <row r="13">
      <c r="A13" s="5" t="inlineStr">
        <is>
          <t>指標</t>
        </is>
      </c>
      <c r="B13" s="6" t="inlineStr">
        <is>
          <t>台積電指引</t>
        </is>
      </c>
      <c r="C13" s="6" t="inlineStr">
        <is>
          <t>市場預期</t>
        </is>
      </c>
      <c r="D13" s="6" t="inlineStr">
        <is>
          <t>評語</t>
        </is>
      </c>
    </row>
    <row r="14">
      <c r="A14" s="19" t="inlineStr">
        <is>
          <t>營收 Revenue (US$bn)</t>
        </is>
      </c>
      <c r="B14" s="28" t="inlineStr">
        <is>
          <t>指引 39.0–40.2(中 39.6)</t>
        </is>
      </c>
      <c r="C14" s="28" t="inlineStr">
        <is>
          <t>預期 ~38.1</t>
        </is>
      </c>
      <c r="D14" s="29" t="inlineStr">
        <is>
          <t>+3.9% 高於預期 ▲</t>
        </is>
      </c>
    </row>
    <row r="15">
      <c r="A15" s="19" t="inlineStr">
        <is>
          <t>毛利率 Gross Margin</t>
        </is>
      </c>
      <c r="B15" s="28" t="inlineStr">
        <is>
          <t>指引 65.5–67.5%</t>
        </is>
      </c>
      <c r="C15" s="28" t="inlineStr">
        <is>
          <t>—</t>
        </is>
      </c>
      <c r="D15" s="30" t="inlineStr">
        <is>
          <t>強勁 / 高於</t>
        </is>
      </c>
    </row>
    <row r="16">
      <c r="A16" s="19" t="inlineStr">
        <is>
          <t>營業利益率 Op Margin</t>
        </is>
      </c>
      <c r="B16" s="28" t="inlineStr">
        <is>
          <t>指引 56.5–58.5%</t>
        </is>
      </c>
      <c r="C16" s="28" t="inlineStr">
        <is>
          <t>—</t>
        </is>
      </c>
      <c r="D16" s="30" t="inlineStr">
        <is>
          <t>—</t>
        </is>
      </c>
    </row>
    <row r="18">
      <c r="A18" s="3" t="inlineStr">
        <is>
          <t>全年 2026 展望 FY2026 OUTLOOK</t>
        </is>
      </c>
      <c r="B18" s="4" t="n"/>
      <c r="C18" s="4" t="n"/>
      <c r="D18" s="4" t="n"/>
      <c r="E18" s="4" t="n"/>
      <c r="F18" s="4" t="n"/>
    </row>
    <row r="19">
      <c r="A19" s="19" t="inlineStr">
        <is>
          <t>營收成長(US$)</t>
        </is>
      </c>
      <c r="B19" s="10" t="inlineStr">
        <is>
          <t>“&gt; 30%”（AI 需求驅動,維持/上調）</t>
        </is>
      </c>
    </row>
    <row r="20">
      <c r="A20" s="19" t="inlineStr">
        <is>
          <t>2026 資本支出</t>
        </is>
      </c>
      <c r="B20" s="10" t="inlineStr">
        <is>
          <t>US$52–56bn,偏向高端(創高);~70–80% 先進製程</t>
        </is>
      </c>
    </row>
    <row r="21">
      <c r="A21" s="19" t="inlineStr">
        <is>
          <t>長期毛利率底線</t>
        </is>
      </c>
      <c r="B21" s="10" t="inlineStr">
        <is>
          <t>上調至 “56% 以上 through the cycle”</t>
        </is>
      </c>
    </row>
    <row r="22">
      <c r="A22" s="19" t="inlineStr">
        <is>
          <t>長期 AI 加速器營收 CAGR</t>
        </is>
      </c>
      <c r="B22" s="10" t="inlineStr">
        <is>
          <t>上調至 ~54–56% 至 2029</t>
        </is>
      </c>
    </row>
  </sheetData>
  <mergeCells count="12">
    <mergeCell ref="B21:F21"/>
    <mergeCell ref="D13:F13"/>
    <mergeCell ref="D14:F14"/>
    <mergeCell ref="B20:F20"/>
    <mergeCell ref="A1:F1"/>
    <mergeCell ref="B19:F19"/>
    <mergeCell ref="A12:F12"/>
    <mergeCell ref="A18:F18"/>
    <mergeCell ref="B22:F22"/>
    <mergeCell ref="A3:F3"/>
    <mergeCell ref="D15:F15"/>
    <mergeCell ref="D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1" ht="24" customHeight="1">
      <c r="A1" s="31" t="inlineStr">
        <is>
          <t>假設、注意事項與來源</t>
        </is>
      </c>
    </row>
    <row r="3">
      <c r="B3" s="32" t="inlineStr">
        <is>
          <t>建模假設</t>
        </is>
      </c>
    </row>
    <row r="4" ht="15" customHeight="1">
      <c r="B4" s="33" t="inlineStr">
        <is>
          <t>•  Q1'26 全部為公司公布實際數;Q2'26 採法說會指引中點;Q3–Q4'26 為估計(營收 +8%/+6% QoQ、毛利率隨 N2 與海外廠稀釋下行)。</t>
        </is>
      </c>
    </row>
    <row r="5" ht="15" customHeight="1">
      <c r="B5" s="33" t="inlineStr">
        <is>
          <t>•  FY2025 營收基數 ~US$124bn 為近似值(用於 YoY 與『&gt;30%』檢核),正式發布前請以 TSMC 官方 FY25 數字校正。</t>
        </is>
      </c>
    </row>
    <row r="6" ht="15" customHeight="1">
      <c r="B6" s="33" t="inlineStr">
        <is>
          <t>•  匯率:Q1 實際隱含 31.6;Q2–Q4 採台積電 Q2 指引假設 31.7。股數 ~25.93bn;1 ADR = 5 股。</t>
        </is>
      </c>
    </row>
    <row r="7" ht="15" customHeight="1">
      <c r="B7" s="33" t="inlineStr">
        <is>
          <t>•  H2'26 毛利率下行反映管理層明示:N2 量產 + 海外廠全年稀釋毛利率約 2–3%(海外早期 2–3%、後期擴大至 3–4%)。</t>
        </is>
      </c>
    </row>
    <row r="8">
      <c r="B8" s="32" t="inlineStr">
        <is>
          <t>關鍵警示</t>
        </is>
      </c>
    </row>
    <row r="9" ht="15" customHeight="1">
      <c r="B9" s="33" t="inlineStr">
        <is>
          <t>•  本模型為新建(工作區先前無台積電模型)。『前次估計』以『前次官方指引(Jan'26 設定)』與市場 consensus 代表。</t>
        </is>
      </c>
    </row>
    <row r="10" ht="15" customHeight="1">
      <c r="B10" s="33" t="inlineStr">
        <is>
          <t>•  Consensus、股價反應(~-3.1%)、BofA 目標價(NT$2,360→2,530)等為彙整自第三方,發布前請以 FactSet/Bloomberg 校正。</t>
        </is>
      </c>
    </row>
    <row r="11" ht="15" customHeight="1">
      <c r="B11" s="33" t="inlineStr">
        <is>
          <t>•  地區別營收未揭露(官方 6-K 地理表 SEC 連結 403);N2 單獨佔比未拆分。</t>
        </is>
      </c>
    </row>
    <row r="12">
      <c r="B12" s="32" t="inlineStr">
        <is>
          <t>主要來源</t>
        </is>
      </c>
    </row>
    <row r="13" ht="15" customHeight="1">
      <c r="B13" s="33" t="inlineStr">
        <is>
          <t>•  TSMC 6-K 新聞稿 &amp; Q1'26 法說會 transcript(2026-04-16):Q1 實際、Q2 指引、FY 展望、資本支出、稀釋與 N2 進度。</t>
        </is>
      </c>
    </row>
    <row r="14" ht="15" customHeight="1">
      <c r="B14" s="33" t="inlineStr">
        <is>
          <t>•  TSMC Q4'25 結果(2026-01-15):Q1'26 前次指引 US$34.6–35.8bn / GM 63–65%。</t>
        </is>
      </c>
    </row>
    <row r="15" ht="15" customHeight="1">
      <c r="B15" s="33" t="inlineStr">
        <is>
          <t>•  Investing.com transcript;Manufacturing Dive;DataCenterDynamics;Tickeron;TipRanks(consensus 與股價反應)。</t>
        </is>
      </c>
    </row>
    <row r="16">
      <c r="B16" s="32" t="inlineStr">
        <is>
          <t>免責</t>
        </is>
      </c>
    </row>
    <row r="17" ht="15" customHeight="1">
      <c r="B17" s="33" t="inlineStr">
        <is>
          <t>•  彙整自公開資訊與第三方,僅供內部研究參考,不構成投資建議。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2026-06-22T07:19:15Z</dcterms:created>
  <dcterms:modified xmlns:dcterms="http://purl.org/dc/terms/" xmlns:xsi="http://www.w3.org/2001/XMLSchema-instance" xsi:type="dcterms:W3CDTF">2026-06-22T07:19:15Z</dcterms:modified>
</cp:coreProperties>
</file>