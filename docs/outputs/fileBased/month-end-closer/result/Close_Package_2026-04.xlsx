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ruals &amp; JE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Roll-forward 2100" sheetId="3" state="visible" r:id="rId3"/>
    <sheet xmlns:r="http://schemas.openxmlformats.org/officeDocument/2006/relationships" name="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+0.0%;(0.0%)"/>
  </numFmts>
  <fonts count="16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b val="1"/>
      <color rgb="00FFFFFF"/>
      <sz val="9"/>
    </font>
    <font>
      <name val="Microsoft JhengHei"/>
      <color rgb="00000000"/>
      <sz val="9"/>
    </font>
    <font>
      <name val="Microsoft JhengHei"/>
      <color rgb="000000FF"/>
      <sz val="9"/>
    </font>
    <font>
      <name val="Microsoft JhengHei"/>
      <b val="1"/>
      <color rgb="00000000"/>
      <sz val="9"/>
    </font>
    <font>
      <name val="Microsoft JhengHei"/>
      <b val="1"/>
      <color rgb="000000FF"/>
      <sz val="9"/>
    </font>
    <font>
      <name val="Microsoft JhengHei"/>
      <b val="1"/>
      <color rgb="00000000"/>
      <sz val="10"/>
    </font>
    <font>
      <name val="Microsoft JhengHei"/>
      <b val="1"/>
      <color rgb="00FFFFFF"/>
      <sz val="12"/>
    </font>
    <font>
      <name val="Microsoft JhengHei"/>
      <color rgb="00000000"/>
      <sz val="8"/>
    </font>
    <font>
      <name val="Microsoft JhengHei"/>
      <b val="1"/>
      <color rgb="00FFFFFF"/>
      <sz val="11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color rgb="00008000"/>
      <sz val="10"/>
    </font>
    <font>
      <name val="Microsoft JhengHei"/>
      <color rgb="00008000"/>
      <sz val="9"/>
    </font>
    <font>
      <name val="Microsoft JhengHei"/>
      <b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7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0" customWidth="1" min="4" max="4"/>
    <col width="12" customWidth="1" min="5" max="5"/>
    <col width="34" customWidth="1" min="6" max="6"/>
  </cols>
  <sheetData>
    <row r="1">
      <c r="A1" s="1" t="inlineStr">
        <is>
          <t>應計排程與草稿分錄 Accruals &amp; Draft JEs · 2026-04（待 controller 核准，勿過帳）</t>
        </is>
      </c>
    </row>
    <row r="3">
      <c r="A3" s="2" t="inlineStr">
        <is>
          <t>#</t>
        </is>
      </c>
      <c r="B3" s="3" t="inlineStr">
        <is>
          <t>項目</t>
        </is>
      </c>
      <c r="C3" s="3" t="inlineStr">
        <is>
          <t>基礎 Basis</t>
        </is>
      </c>
      <c r="D3" s="3" t="inlineStr">
        <is>
          <t>費用科目</t>
        </is>
      </c>
      <c r="E3" s="2" t="inlineStr">
        <is>
          <t>本期估列</t>
        </is>
      </c>
      <c r="F3" s="3" t="inlineStr">
        <is>
          <t>支援 Support</t>
        </is>
      </c>
    </row>
    <row r="4">
      <c r="A4" s="4" t="inlineStr">
        <is>
          <t>A1</t>
        </is>
      </c>
      <c r="B4" s="5" t="inlineStr">
        <is>
          <t>IT 服務(4月)</t>
        </is>
      </c>
      <c r="C4" s="5" t="inlineStr">
        <is>
          <t>月帳單 ~75,000</t>
        </is>
      </c>
      <c r="D4" s="5" t="inlineStr">
        <is>
          <t>6300 資訊技術</t>
        </is>
      </c>
      <c r="E4" s="6" t="n">
        <v>75000</v>
      </c>
      <c r="F4" s="7" t="inlineStr">
        <is>
          <t>發票 2026-05-03,屬4月;發票入帳時沖回</t>
        </is>
      </c>
    </row>
    <row r="5">
      <c r="A5" s="4" t="inlineStr">
        <is>
          <t>A2</t>
        </is>
      </c>
      <c r="B5" s="5" t="inlineStr">
        <is>
          <t>年度分紅</t>
        </is>
      </c>
      <c r="C5" s="5" t="inlineStr">
        <is>
          <t>獎金池 1,200,000 ÷ 12</t>
        </is>
      </c>
      <c r="D5" s="5" t="inlineStr">
        <is>
          <t>6000 薪酬</t>
        </is>
      </c>
      <c r="E5" s="6" t="n">
        <v>100000</v>
      </c>
      <c r="F5" s="7" t="inlineStr">
        <is>
          <t>薪酬計畫(按月攤)</t>
        </is>
      </c>
    </row>
    <row r="6">
      <c r="A6" s="4" t="inlineStr">
        <is>
          <t>A3</t>
        </is>
      </c>
      <c r="B6" s="5" t="inlineStr">
        <is>
          <t>FY2026 外部審計</t>
        </is>
      </c>
      <c r="C6" s="5" t="inlineStr">
        <is>
          <t>全年 300,000,~1/3</t>
        </is>
      </c>
      <c r="D6" s="5" t="inlineStr">
        <is>
          <t>6200 專業服務費</t>
        </is>
      </c>
      <c r="E6" s="6" t="n">
        <v>100000</v>
      </c>
      <c r="F6" s="7" t="inlineStr">
        <is>
          <t>審計委任書(累計估列,已入帳0)</t>
        </is>
      </c>
    </row>
    <row r="7">
      <c r="D7" s="8" t="inlineStr">
        <is>
          <t>合計</t>
        </is>
      </c>
      <c r="E7" s="9">
        <f>SUM(E4:E6)</f>
        <v/>
      </c>
    </row>
    <row r="9">
      <c r="A9" s="10" t="inlineStr">
        <is>
          <t>草稿分錄 Draft Journal Entries</t>
        </is>
      </c>
      <c r="B9" s="11" t="n"/>
      <c r="C9" s="11" t="n"/>
      <c r="D9" s="11" t="n"/>
      <c r="E9" s="11" t="n"/>
      <c r="F9" s="11" t="n"/>
    </row>
    <row r="10">
      <c r="A10" s="2" t="inlineStr">
        <is>
          <t>JE</t>
        </is>
      </c>
      <c r="B10" s="3" t="inlineStr">
        <is>
          <t>借方 Dr</t>
        </is>
      </c>
      <c r="C10" s="2" t="inlineStr">
        <is>
          <t>金額</t>
        </is>
      </c>
      <c r="D10" s="3" t="inlineStr">
        <is>
          <t>貸方 Cr</t>
        </is>
      </c>
      <c r="E10" s="2" t="inlineStr">
        <is>
          <t>金額</t>
        </is>
      </c>
      <c r="F10" s="3" t="inlineStr">
        <is>
          <t>Memo</t>
        </is>
      </c>
    </row>
    <row r="11">
      <c r="A11" s="4" t="inlineStr">
        <is>
          <t>JE-A1</t>
        </is>
      </c>
      <c r="B11" s="5" t="inlineStr">
        <is>
          <t>Dr 6300 資訊技術</t>
        </is>
      </c>
      <c r="C11" s="6" t="n">
        <v>75000</v>
      </c>
      <c r="D11" s="5" t="inlineStr">
        <is>
          <t>Cr 2100 應付費用</t>
        </is>
      </c>
      <c r="E11" s="6" t="n">
        <v>75000</v>
      </c>
      <c r="F11" s="7" t="inlineStr">
        <is>
          <t>IT 服務 2026-04 估列(自動沖回)</t>
        </is>
      </c>
    </row>
    <row r="12">
      <c r="A12" s="4" t="inlineStr">
        <is>
          <t>JE-A2</t>
        </is>
      </c>
      <c r="B12" s="5" t="inlineStr">
        <is>
          <t>Dr 6000 薪酬</t>
        </is>
      </c>
      <c r="C12" s="6" t="n">
        <v>100000</v>
      </c>
      <c r="D12" s="5" t="inlineStr">
        <is>
          <t>Cr 2100 應付費用</t>
        </is>
      </c>
      <c r="E12" s="6" t="n">
        <v>100000</v>
      </c>
      <c r="F12" s="7" t="inlineStr">
        <is>
          <t>分紅 2026-04 按月估列</t>
        </is>
      </c>
    </row>
    <row r="13">
      <c r="A13" s="4" t="inlineStr">
        <is>
          <t>JE-A3</t>
        </is>
      </c>
      <c r="B13" s="5" t="inlineStr">
        <is>
          <t>Dr 6200 專業服務費</t>
        </is>
      </c>
      <c r="C13" s="6" t="n">
        <v>100000</v>
      </c>
      <c r="D13" s="5" t="inlineStr">
        <is>
          <t>Cr 2100 應付費用</t>
        </is>
      </c>
      <c r="E13" s="6" t="n">
        <v>100000</v>
      </c>
      <c r="F13" s="7" t="inlineStr">
        <is>
          <t>FY2026 審計累計估列</t>
        </is>
      </c>
    </row>
    <row r="14">
      <c r="B14" s="8" t="inlineStr">
        <is>
          <t>JE 合計(Dr=Cr 檢查)</t>
        </is>
      </c>
      <c r="C14" s="12">
        <f>SUM(C11:C13)</f>
        <v/>
      </c>
      <c r="E14" s="12">
        <f>SUM(E11:E13)</f>
        <v/>
      </c>
      <c r="F14" s="5" t="inlineStr">
        <is>
          <t>← Dr 應 = Cr ✓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10" max="10"/>
    <col width="13" customWidth="1" min="11" max="11"/>
  </cols>
  <sheetData>
    <row r="1" ht="24" customHeight="1">
      <c r="A1" s="13" t="inlineStr">
        <is>
          <t>試算表 Trial Balance — Aurora Capital Management LLC · 2026-04 (USD)</t>
        </is>
      </c>
    </row>
    <row r="3">
      <c r="A3" s="3" t="inlineStr">
        <is>
          <t>科目</t>
        </is>
      </c>
      <c r="B3" s="3" t="inlineStr">
        <is>
          <t>名稱</t>
        </is>
      </c>
      <c r="C3" s="2" t="inlineStr">
        <is>
          <t>類別</t>
        </is>
      </c>
      <c r="D3" s="2" t="inlineStr">
        <is>
          <t>Dr/Cr</t>
        </is>
      </c>
      <c r="E3" s="2" t="inlineStr">
        <is>
          <t>上月 03</t>
        </is>
      </c>
      <c r="F3" s="2" t="inlineStr">
        <is>
          <t>本月 04 pre</t>
        </is>
      </c>
      <c r="G3" s="2" t="inlineStr">
        <is>
          <t>應計調整</t>
        </is>
      </c>
      <c r="H3" s="2" t="inlineStr">
        <is>
          <t>結帳後 post</t>
        </is>
      </c>
      <c r="I3" s="14" t="inlineStr"/>
      <c r="J3" s="2" t="inlineStr">
        <is>
          <t>Dr(post)</t>
        </is>
      </c>
      <c r="K3" s="2" t="inlineStr">
        <is>
          <t>Cr(post)</t>
        </is>
      </c>
    </row>
    <row r="4">
      <c r="A4" s="4" t="inlineStr">
        <is>
          <t>1000</t>
        </is>
      </c>
      <c r="B4" s="5" t="inlineStr">
        <is>
          <t>現金 Cash</t>
        </is>
      </c>
      <c r="C4" s="4" t="inlineStr">
        <is>
          <t>資產</t>
        </is>
      </c>
      <c r="D4" s="4" t="inlineStr">
        <is>
          <t>Dr</t>
        </is>
      </c>
      <c r="E4" s="6" t="n">
        <v>8000000</v>
      </c>
      <c r="F4" s="6" t="n">
        <v>7550000</v>
      </c>
      <c r="G4" s="15" t="n"/>
      <c r="H4" s="16">
        <f>F4+N(G4)</f>
        <v/>
      </c>
      <c r="J4" s="15">
        <f>IF(D4="Dr",H4,0)</f>
        <v/>
      </c>
      <c r="K4" s="15">
        <f>IF(D4="Cr",H4,0)</f>
        <v/>
      </c>
    </row>
    <row r="5">
      <c r="A5" s="4" t="inlineStr">
        <is>
          <t>1100</t>
        </is>
      </c>
      <c r="B5" s="5" t="inlineStr">
        <is>
          <t>應收管理費</t>
        </is>
      </c>
      <c r="C5" s="4" t="inlineStr">
        <is>
          <t>資產</t>
        </is>
      </c>
      <c r="D5" s="4" t="inlineStr">
        <is>
          <t>Dr</t>
        </is>
      </c>
      <c r="E5" s="6" t="n">
        <v>3000000</v>
      </c>
      <c r="F5" s="6" t="n">
        <v>3200000</v>
      </c>
      <c r="G5" s="15" t="n"/>
      <c r="H5" s="16">
        <f>F5+N(G5)</f>
        <v/>
      </c>
      <c r="J5" s="15">
        <f>IF(D5="Dr",H5,0)</f>
        <v/>
      </c>
      <c r="K5" s="15">
        <f>IF(D5="Cr",H5,0)</f>
        <v/>
      </c>
    </row>
    <row r="6">
      <c r="A6" s="4" t="inlineStr">
        <is>
          <t>1200</t>
        </is>
      </c>
      <c r="B6" s="5" t="inlineStr">
        <is>
          <t>預付費用</t>
        </is>
      </c>
      <c r="C6" s="4" t="inlineStr">
        <is>
          <t>資產</t>
        </is>
      </c>
      <c r="D6" s="4" t="inlineStr">
        <is>
          <t>Dr</t>
        </is>
      </c>
      <c r="E6" s="6" t="n">
        <v>600000</v>
      </c>
      <c r="F6" s="6" t="n">
        <v>600000</v>
      </c>
      <c r="G6" s="15" t="n"/>
      <c r="H6" s="16">
        <f>F6+N(G6)</f>
        <v/>
      </c>
      <c r="J6" s="15">
        <f>IF(D6="Dr",H6,0)</f>
        <v/>
      </c>
      <c r="K6" s="15">
        <f>IF(D6="Cr",H6,0)</f>
        <v/>
      </c>
    </row>
    <row r="7">
      <c r="A7" s="4" t="inlineStr">
        <is>
          <t>1500</t>
        </is>
      </c>
      <c r="B7" s="5" t="inlineStr">
        <is>
          <t>固定資產淨額</t>
        </is>
      </c>
      <c r="C7" s="4" t="inlineStr">
        <is>
          <t>資產</t>
        </is>
      </c>
      <c r="D7" s="4" t="inlineStr">
        <is>
          <t>Dr</t>
        </is>
      </c>
      <c r="E7" s="6" t="n">
        <v>1400000</v>
      </c>
      <c r="F7" s="6" t="n">
        <v>1350000</v>
      </c>
      <c r="G7" s="15" t="n"/>
      <c r="H7" s="16">
        <f>F7+N(G7)</f>
        <v/>
      </c>
      <c r="J7" s="15">
        <f>IF(D7="Dr",H7,0)</f>
        <v/>
      </c>
      <c r="K7" s="15">
        <f>IF(D7="Cr",H7,0)</f>
        <v/>
      </c>
    </row>
    <row r="8">
      <c r="A8" s="4" t="inlineStr">
        <is>
          <t>2000</t>
        </is>
      </c>
      <c r="B8" s="5" t="inlineStr">
        <is>
          <t>應付帳款</t>
        </is>
      </c>
      <c r="C8" s="4" t="inlineStr">
        <is>
          <t>負債</t>
        </is>
      </c>
      <c r="D8" s="4" t="inlineStr">
        <is>
          <t>Cr</t>
        </is>
      </c>
      <c r="E8" s="6" t="n">
        <v>900000</v>
      </c>
      <c r="F8" s="6" t="n">
        <v>1100000</v>
      </c>
      <c r="G8" s="15" t="n"/>
      <c r="H8" s="16">
        <f>F8+N(G8)</f>
        <v/>
      </c>
      <c r="J8" s="15">
        <f>IF(D8="Dr",H8,0)</f>
        <v/>
      </c>
      <c r="K8" s="15">
        <f>IF(D8="Cr",H8,0)</f>
        <v/>
      </c>
    </row>
    <row r="9">
      <c r="A9" s="4" t="inlineStr">
        <is>
          <t>2100</t>
        </is>
      </c>
      <c r="B9" s="5" t="inlineStr">
        <is>
          <t>應付費用</t>
        </is>
      </c>
      <c r="C9" s="4" t="inlineStr">
        <is>
          <t>負債</t>
        </is>
      </c>
      <c r="D9" s="4" t="inlineStr">
        <is>
          <t>Cr</t>
        </is>
      </c>
      <c r="E9" s="6" t="n">
        <v>1200000</v>
      </c>
      <c r="F9" s="6" t="n">
        <v>1000000</v>
      </c>
      <c r="G9" s="17" t="n">
        <v>275000</v>
      </c>
      <c r="H9" s="16">
        <f>F9+N(G9)</f>
        <v/>
      </c>
      <c r="J9" s="15">
        <f>IF(D9="Dr",H9,0)</f>
        <v/>
      </c>
      <c r="K9" s="15">
        <f>IF(D9="Cr",H9,0)</f>
        <v/>
      </c>
    </row>
    <row r="10">
      <c r="A10" s="4" t="inlineStr">
        <is>
          <t>2200</t>
        </is>
      </c>
      <c r="B10" s="5" t="inlineStr">
        <is>
          <t>遞延收入</t>
        </is>
      </c>
      <c r="C10" s="4" t="inlineStr">
        <is>
          <t>負債</t>
        </is>
      </c>
      <c r="D10" s="4" t="inlineStr">
        <is>
          <t>Cr</t>
        </is>
      </c>
      <c r="E10" s="6" t="n">
        <v>500000</v>
      </c>
      <c r="F10" s="6" t="n">
        <v>400000</v>
      </c>
      <c r="G10" s="15" t="n"/>
      <c r="H10" s="16">
        <f>F10+N(G10)</f>
        <v/>
      </c>
      <c r="J10" s="15">
        <f>IF(D10="Dr",H10,0)</f>
        <v/>
      </c>
      <c r="K10" s="15">
        <f>IF(D10="Cr",H10,0)</f>
        <v/>
      </c>
    </row>
    <row r="11">
      <c r="A11" s="4" t="inlineStr">
        <is>
          <t>3000</t>
        </is>
      </c>
      <c r="B11" s="5" t="inlineStr">
        <is>
          <t>成員資本</t>
        </is>
      </c>
      <c r="C11" s="4" t="inlineStr">
        <is>
          <t>權益</t>
        </is>
      </c>
      <c r="D11" s="4" t="inlineStr">
        <is>
          <t>Cr</t>
        </is>
      </c>
      <c r="E11" s="6" t="n">
        <v>8000000</v>
      </c>
      <c r="F11" s="6" t="n">
        <v>8000000</v>
      </c>
      <c r="G11" s="15" t="n"/>
      <c r="H11" s="16">
        <f>F11+N(G11)</f>
        <v/>
      </c>
      <c r="J11" s="15">
        <f>IF(D11="Dr",H11,0)</f>
        <v/>
      </c>
      <c r="K11" s="15">
        <f>IF(D11="Cr",H11,0)</f>
        <v/>
      </c>
    </row>
    <row r="12">
      <c r="A12" s="4" t="inlineStr">
        <is>
          <t>3100</t>
        </is>
      </c>
      <c r="B12" s="5" t="inlineStr">
        <is>
          <t>期初保留盈餘</t>
        </is>
      </c>
      <c r="C12" s="4" t="inlineStr">
        <is>
          <t>權益</t>
        </is>
      </c>
      <c r="D12" s="4" t="inlineStr">
        <is>
          <t>Cr</t>
        </is>
      </c>
      <c r="E12" s="6" t="n">
        <v>2000000</v>
      </c>
      <c r="F12" s="6" t="n">
        <v>2000000</v>
      </c>
      <c r="G12" s="15" t="n"/>
      <c r="H12" s="16">
        <f>F12+N(G12)</f>
        <v/>
      </c>
      <c r="J12" s="15">
        <f>IF(D12="Dr",H12,0)</f>
        <v/>
      </c>
      <c r="K12" s="15">
        <f>IF(D12="Cr",H12,0)</f>
        <v/>
      </c>
    </row>
    <row r="13">
      <c r="A13" s="4" t="inlineStr">
        <is>
          <t>4000</t>
        </is>
      </c>
      <c r="B13" s="5" t="inlineStr">
        <is>
          <t>管理費收入</t>
        </is>
      </c>
      <c r="C13" s="4" t="inlineStr">
        <is>
          <t>收入</t>
        </is>
      </c>
      <c r="D13" s="4" t="inlineStr">
        <is>
          <t>Cr</t>
        </is>
      </c>
      <c r="E13" s="6" t="n">
        <v>6300000</v>
      </c>
      <c r="F13" s="6" t="n">
        <v>8500000</v>
      </c>
      <c r="G13" s="15" t="n"/>
      <c r="H13" s="16">
        <f>F13+N(G13)</f>
        <v/>
      </c>
      <c r="J13" s="15">
        <f>IF(D13="Dr",H13,0)</f>
        <v/>
      </c>
      <c r="K13" s="15">
        <f>IF(D13="Cr",H13,0)</f>
        <v/>
      </c>
    </row>
    <row r="14">
      <c r="A14" s="4" t="inlineStr">
        <is>
          <t>4100</t>
        </is>
      </c>
      <c r="B14" s="5" t="inlineStr">
        <is>
          <t>其他收入</t>
        </is>
      </c>
      <c r="C14" s="4" t="inlineStr">
        <is>
          <t>收入</t>
        </is>
      </c>
      <c r="D14" s="4" t="inlineStr">
        <is>
          <t>Cr</t>
        </is>
      </c>
      <c r="E14" s="6" t="n">
        <v>300000</v>
      </c>
      <c r="F14" s="6" t="n">
        <v>380000</v>
      </c>
      <c r="G14" s="15" t="n"/>
      <c r="H14" s="16">
        <f>F14+N(G14)</f>
        <v/>
      </c>
      <c r="J14" s="15">
        <f>IF(D14="Dr",H14,0)</f>
        <v/>
      </c>
      <c r="K14" s="15">
        <f>IF(D14="Cr",H14,0)</f>
        <v/>
      </c>
    </row>
    <row r="15">
      <c r="A15" s="4" t="inlineStr">
        <is>
          <t>6000</t>
        </is>
      </c>
      <c r="B15" s="5" t="inlineStr">
        <is>
          <t>薪酬</t>
        </is>
      </c>
      <c r="C15" s="4" t="inlineStr">
        <is>
          <t>費用</t>
        </is>
      </c>
      <c r="D15" s="4" t="inlineStr">
        <is>
          <t>Dr</t>
        </is>
      </c>
      <c r="E15" s="6" t="n">
        <v>4500000</v>
      </c>
      <c r="F15" s="6" t="n">
        <v>6000000</v>
      </c>
      <c r="G15" s="17" t="n">
        <v>100000</v>
      </c>
      <c r="H15" s="16">
        <f>F15+N(G15)</f>
        <v/>
      </c>
      <c r="J15" s="15">
        <f>IF(D15="Dr",H15,0)</f>
        <v/>
      </c>
      <c r="K15" s="15">
        <f>IF(D15="Cr",H15,0)</f>
        <v/>
      </c>
    </row>
    <row r="16">
      <c r="A16" s="4" t="inlineStr">
        <is>
          <t>6100</t>
        </is>
      </c>
      <c r="B16" s="5" t="inlineStr">
        <is>
          <t>租金</t>
        </is>
      </c>
      <c r="C16" s="4" t="inlineStr">
        <is>
          <t>費用</t>
        </is>
      </c>
      <c r="D16" s="4" t="inlineStr">
        <is>
          <t>Dr</t>
        </is>
      </c>
      <c r="E16" s="6" t="n">
        <v>600000</v>
      </c>
      <c r="F16" s="6" t="n">
        <v>800000</v>
      </c>
      <c r="G16" s="15" t="n"/>
      <c r="H16" s="16">
        <f>F16+N(G16)</f>
        <v/>
      </c>
      <c r="J16" s="15">
        <f>IF(D16="Dr",H16,0)</f>
        <v/>
      </c>
      <c r="K16" s="15">
        <f>IF(D16="Cr",H16,0)</f>
        <v/>
      </c>
    </row>
    <row r="17">
      <c r="A17" s="4" t="inlineStr">
        <is>
          <t>6200</t>
        </is>
      </c>
      <c r="B17" s="5" t="inlineStr">
        <is>
          <t>專業服務費</t>
        </is>
      </c>
      <c r="C17" s="4" t="inlineStr">
        <is>
          <t>費用</t>
        </is>
      </c>
      <c r="D17" s="4" t="inlineStr">
        <is>
          <t>Dr</t>
        </is>
      </c>
      <c r="E17" s="6" t="n">
        <v>400000</v>
      </c>
      <c r="F17" s="6" t="n">
        <v>750000</v>
      </c>
      <c r="G17" s="17" t="n">
        <v>100000</v>
      </c>
      <c r="H17" s="16">
        <f>F17+N(G17)</f>
        <v/>
      </c>
      <c r="J17" s="15">
        <f>IF(D17="Dr",H17,0)</f>
        <v/>
      </c>
      <c r="K17" s="15">
        <f>IF(D17="Cr",H17,0)</f>
        <v/>
      </c>
    </row>
    <row r="18">
      <c r="A18" s="4" t="inlineStr">
        <is>
          <t>6300</t>
        </is>
      </c>
      <c r="B18" s="5" t="inlineStr">
        <is>
          <t>資訊技術</t>
        </is>
      </c>
      <c r="C18" s="4" t="inlineStr">
        <is>
          <t>費用</t>
        </is>
      </c>
      <c r="D18" s="4" t="inlineStr">
        <is>
          <t>Dr</t>
        </is>
      </c>
      <c r="E18" s="6" t="n">
        <v>300000</v>
      </c>
      <c r="F18" s="6" t="n">
        <v>400000</v>
      </c>
      <c r="G18" s="17" t="n">
        <v>75000</v>
      </c>
      <c r="H18" s="16">
        <f>F18+N(G18)</f>
        <v/>
      </c>
      <c r="J18" s="15">
        <f>IF(D18="Dr",H18,0)</f>
        <v/>
      </c>
      <c r="K18" s="15">
        <f>IF(D18="Cr",H18,0)</f>
        <v/>
      </c>
    </row>
    <row r="19">
      <c r="A19" s="4" t="inlineStr">
        <is>
          <t>6400</t>
        </is>
      </c>
      <c r="B19" s="5" t="inlineStr">
        <is>
          <t>差旅</t>
        </is>
      </c>
      <c r="C19" s="4" t="inlineStr">
        <is>
          <t>費用</t>
        </is>
      </c>
      <c r="D19" s="4" t="inlineStr">
        <is>
          <t>Dr</t>
        </is>
      </c>
      <c r="E19" s="6" t="n">
        <v>150000</v>
      </c>
      <c r="F19" s="6" t="n">
        <v>350000</v>
      </c>
      <c r="G19" s="15" t="n"/>
      <c r="H19" s="16">
        <f>F19+N(G19)</f>
        <v/>
      </c>
      <c r="J19" s="15">
        <f>IF(D19="Dr",H19,0)</f>
        <v/>
      </c>
      <c r="K19" s="15">
        <f>IF(D19="Cr",H19,0)</f>
        <v/>
      </c>
    </row>
    <row r="20">
      <c r="A20" s="4" t="inlineStr">
        <is>
          <t>6500</t>
        </is>
      </c>
      <c r="B20" s="5" t="inlineStr">
        <is>
          <t>其他營運費用</t>
        </is>
      </c>
      <c r="C20" s="4" t="inlineStr">
        <is>
          <t>費用</t>
        </is>
      </c>
      <c r="D20" s="4" t="inlineStr">
        <is>
          <t>Dr</t>
        </is>
      </c>
      <c r="E20" s="6" t="n">
        <v>250000</v>
      </c>
      <c r="F20" s="6" t="n">
        <v>330000</v>
      </c>
      <c r="G20" s="15" t="n"/>
      <c r="H20" s="16">
        <f>F20+N(G20)</f>
        <v/>
      </c>
      <c r="J20" s="15">
        <f>IF(D20="Dr",H20,0)</f>
        <v/>
      </c>
      <c r="K20" s="15">
        <f>IF(D20="Cr",H20,0)</f>
        <v/>
      </c>
    </row>
    <row r="21">
      <c r="A21" s="4" t="inlineStr">
        <is>
          <t>6600</t>
        </is>
      </c>
      <c r="B21" s="5" t="inlineStr">
        <is>
          <t>折舊</t>
        </is>
      </c>
      <c r="C21" s="4" t="inlineStr">
        <is>
          <t>費用</t>
        </is>
      </c>
      <c r="D21" s="4" t="inlineStr">
        <is>
          <t>Dr</t>
        </is>
      </c>
      <c r="E21" s="6" t="n">
        <v>0</v>
      </c>
      <c r="F21" s="6" t="n">
        <v>50000</v>
      </c>
      <c r="G21" s="15" t="n"/>
      <c r="H21" s="16">
        <f>F21+N(G21)</f>
        <v/>
      </c>
      <c r="J21" s="15">
        <f>IF(D21="Dr",H21,0)</f>
        <v/>
      </c>
      <c r="K21" s="15">
        <f>IF(D21="Cr",H21,0)</f>
        <v/>
      </c>
    </row>
    <row r="22">
      <c r="B22" s="8" t="inlineStr">
        <is>
          <t>合計 / 平衡檢查</t>
        </is>
      </c>
      <c r="E22" s="9">
        <f>SUM(E4:E21)</f>
        <v/>
      </c>
      <c r="F22" s="9">
        <f>SUM(F4:F21)</f>
        <v/>
      </c>
      <c r="G22" s="9">
        <f>SUM(G4:G21)</f>
        <v/>
      </c>
      <c r="H22" s="9">
        <f>SUM(H4:H21)</f>
        <v/>
      </c>
      <c r="J22" s="12">
        <f>SUM(J4:J21)</f>
        <v/>
      </c>
      <c r="K22" s="12">
        <f>SUM(K4:K21)</f>
        <v/>
      </c>
    </row>
    <row r="23">
      <c r="B23" s="18" t="inlineStr">
        <is>
          <t>借貸差額 Dr−Cr (post)</t>
        </is>
      </c>
      <c r="J23" s="19">
        <f>J22-K22</f>
        <v/>
      </c>
      <c r="K23" s="5" t="inlineStr">
        <is>
          <t>← 應為 0 ✓</t>
        </is>
      </c>
    </row>
    <row r="25">
      <c r="B25" s="18" t="inlineStr">
        <is>
          <t>YTD 淨利(post) = 收入 − 費用</t>
        </is>
      </c>
      <c r="H25" s="12">
        <f>(H13+H14)-SUM(H15:H21)</f>
        <v/>
      </c>
    </row>
    <row r="26">
      <c r="B26" s="5" t="inlineStr">
        <is>
          <t>（pre-close 淨利對照）</t>
        </is>
      </c>
      <c r="H26" s="15">
        <f>(F13+F14)-SUM(F15:F21)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</cols>
  <sheetData>
    <row r="1">
      <c r="A1" s="1" t="inlineStr">
        <is>
          <t>應付費用 (2100) 結轉 Roll-forward · 2026-04</t>
        </is>
      </c>
    </row>
    <row r="3">
      <c r="B3" s="20" t="inlineStr">
        <is>
          <t>期初餘額(2026-03 月底)</t>
        </is>
      </c>
      <c r="C3" s="21" t="n">
        <v>1200000</v>
      </c>
    </row>
    <row r="4">
      <c r="B4" s="20" t="inlineStr">
        <is>
          <t>減：4月支付/沖回</t>
        </is>
      </c>
      <c r="C4" s="21" t="n">
        <v>-200000</v>
      </c>
    </row>
    <row r="5">
      <c r="B5" s="8" t="inlineStr">
        <is>
          <t>＝ 結帳前餘額</t>
        </is>
      </c>
      <c r="C5" s="22">
        <f>C3+C4</f>
        <v/>
      </c>
    </row>
    <row r="6">
      <c r="B6" s="18" t="inlineStr">
        <is>
          <t>加：新估列(A1+A2+A3)</t>
        </is>
      </c>
      <c r="C6" s="22">
        <f>'Accruals &amp; JEs'!E7</f>
        <v/>
      </c>
    </row>
    <row r="7">
      <c r="B7" s="8" t="inlineStr">
        <is>
          <t>＝ 期末餘額(post-close)</t>
        </is>
      </c>
      <c r="C7" s="12">
        <f>C5+C6</f>
        <v/>
      </c>
    </row>
    <row r="10">
      <c r="B10" s="18" t="inlineStr">
        <is>
          <t>Foot check：期初+變動=期末</t>
        </is>
      </c>
      <c r="C10" s="23">
        <f>IF(C7=C3+C4+C6,"✓ 對得上","✗")</f>
        <v/>
      </c>
    </row>
    <row r="11">
      <c r="B11" s="5" t="inlineStr">
        <is>
          <t>對試算表 2100 post-close 一致？</t>
        </is>
      </c>
      <c r="C11" s="24">
        <f>'Trial Balance'!H9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差異說明 Variance（當月 vs 前3月跑率；門檻 &gt;5%）· post-close</t>
        </is>
      </c>
    </row>
    <row r="3">
      <c r="A3" s="3" t="inlineStr">
        <is>
          <t>科目</t>
        </is>
      </c>
      <c r="B3" s="3" t="inlineStr">
        <is>
          <t>名稱</t>
        </is>
      </c>
      <c r="C3" s="2" t="inlineStr">
        <is>
          <t>前YTD</t>
        </is>
      </c>
      <c r="D3" s="2" t="inlineStr">
        <is>
          <t>後YTD</t>
        </is>
      </c>
      <c r="E3" s="2" t="inlineStr">
        <is>
          <t>當月</t>
        </is>
      </c>
      <c r="F3" s="2" t="inlineStr">
        <is>
          <t>月跑率</t>
        </is>
      </c>
      <c r="G3" s="2" t="inlineStr">
        <is>
          <t>當月vs跑率</t>
        </is>
      </c>
      <c r="H3" s="2" t="inlineStr">
        <is>
          <t>判讀</t>
        </is>
      </c>
    </row>
    <row r="4">
      <c r="A4" s="4" t="inlineStr">
        <is>
          <t>6000</t>
        </is>
      </c>
      <c r="B4" s="5" t="inlineStr">
        <is>
          <t>薪酬</t>
        </is>
      </c>
      <c r="C4" s="25">
        <f>'Trial Balance'!E15</f>
        <v/>
      </c>
      <c r="D4" s="25">
        <f>'Trial Balance'!H15</f>
        <v/>
      </c>
      <c r="E4" s="15">
        <f>D4-C4</f>
        <v/>
      </c>
      <c r="F4" s="15">
        <f>C4/3</f>
        <v/>
      </c>
      <c r="G4" s="26">
        <f>IF(F4=0,"n/a",E4/F4-1)</f>
        <v/>
      </c>
      <c r="H4" s="7" t="inlineStr">
        <is>
          <t>分紅估列 A2 驅動;跑率持平。已解釋</t>
        </is>
      </c>
    </row>
    <row r="5">
      <c r="A5" s="4" t="inlineStr">
        <is>
          <t>6100</t>
        </is>
      </c>
      <c r="B5" s="5" t="inlineStr">
        <is>
          <t>租金</t>
        </is>
      </c>
      <c r="C5" s="25">
        <f>'Trial Balance'!E16</f>
        <v/>
      </c>
      <c r="D5" s="25">
        <f>'Trial Balance'!H16</f>
        <v/>
      </c>
      <c r="E5" s="15">
        <f>D5-C5</f>
        <v/>
      </c>
      <c r="F5" s="15">
        <f>C5/3</f>
        <v/>
      </c>
      <c r="G5" s="26">
        <f>IF(F5=0,"n/a",E5/F5-1)</f>
        <v/>
      </c>
      <c r="H5" s="7" t="inlineStr">
        <is>
          <t>純 YTD 機械增加,符合跑率。正常</t>
        </is>
      </c>
    </row>
    <row r="6">
      <c r="A6" s="4" t="inlineStr">
        <is>
          <t>6200</t>
        </is>
      </c>
      <c r="B6" s="5" t="inlineStr">
        <is>
          <t>專業服務費</t>
        </is>
      </c>
      <c r="C6" s="25">
        <f>'Trial Balance'!E17</f>
        <v/>
      </c>
      <c r="D6" s="25">
        <f>'Trial Balance'!H17</f>
        <v/>
      </c>
      <c r="E6" s="15">
        <f>D6-C6</f>
        <v/>
      </c>
      <c r="F6" s="15">
        <f>C6/3</f>
        <v/>
      </c>
      <c r="G6" s="26">
        <f>IF(F6=0,"n/a",E6/F6-1)</f>
        <v/>
      </c>
      <c r="H6" s="27" t="inlineStr">
        <is>
          <t>⚠ 審計估列+其餘~$350k 超跑率,來源不明→需查</t>
        </is>
      </c>
    </row>
    <row r="7">
      <c r="A7" s="4" t="inlineStr">
        <is>
          <t>6300</t>
        </is>
      </c>
      <c r="B7" s="5" t="inlineStr">
        <is>
          <t>資訊技術</t>
        </is>
      </c>
      <c r="C7" s="25">
        <f>'Trial Balance'!E18</f>
        <v/>
      </c>
      <c r="D7" s="25">
        <f>'Trial Balance'!H18</f>
        <v/>
      </c>
      <c r="E7" s="15">
        <f>D7-C7</f>
        <v/>
      </c>
      <c r="F7" s="15">
        <f>C7/3</f>
        <v/>
      </c>
      <c r="G7" s="26">
        <f>IF(F7=0,"n/a",E7/F7-1)</f>
        <v/>
      </c>
      <c r="H7" s="7" t="inlineStr">
        <is>
          <t>多為 A1 估列;其餘符合跑率。已解釋</t>
        </is>
      </c>
    </row>
    <row r="8">
      <c r="A8" s="4" t="inlineStr">
        <is>
          <t>6400</t>
        </is>
      </c>
      <c r="B8" s="5" t="inlineStr">
        <is>
          <t>差旅</t>
        </is>
      </c>
      <c r="C8" s="25">
        <f>'Trial Balance'!E19</f>
        <v/>
      </c>
      <c r="D8" s="25">
        <f>'Trial Balance'!H19</f>
        <v/>
      </c>
      <c r="E8" s="15">
        <f>D8-C8</f>
        <v/>
      </c>
      <c r="F8" s="15">
        <f>C8/3</f>
        <v/>
      </c>
      <c r="G8" s="26">
        <f>IF(F8=0,"n/a",E8/F8-1)</f>
        <v/>
      </c>
      <c r="H8" s="27" t="inlineStr">
        <is>
          <t>⚠ 當月為跑率4倍,來源不明→需查</t>
        </is>
      </c>
    </row>
    <row r="9">
      <c r="A9" s="4" t="inlineStr">
        <is>
          <t>6500</t>
        </is>
      </c>
      <c r="B9" s="5" t="inlineStr">
        <is>
          <t>其他營運</t>
        </is>
      </c>
      <c r="C9" s="25">
        <f>'Trial Balance'!E20</f>
        <v/>
      </c>
      <c r="D9" s="25">
        <f>'Trial Balance'!H20</f>
        <v/>
      </c>
      <c r="E9" s="15">
        <f>D9-C9</f>
        <v/>
      </c>
      <c r="F9" s="15">
        <f>C9/3</f>
        <v/>
      </c>
      <c r="G9" s="26">
        <f>IF(F9=0,"n/a",E9/F9-1)</f>
        <v/>
      </c>
      <c r="H9" s="7" t="inlineStr">
        <is>
          <t>符合跑率。正常</t>
        </is>
      </c>
    </row>
    <row r="10">
      <c r="A10" s="4" t="inlineStr">
        <is>
          <t>6600</t>
        </is>
      </c>
      <c r="B10" s="5" t="inlineStr">
        <is>
          <t>折舊</t>
        </is>
      </c>
      <c r="C10" s="25">
        <f>'Trial Balance'!E21</f>
        <v/>
      </c>
      <c r="D10" s="25">
        <f>'Trial Balance'!H21</f>
        <v/>
      </c>
      <c r="E10" s="15">
        <f>D10-C10</f>
        <v/>
      </c>
      <c r="F10" s="15">
        <f>C10/3</f>
        <v/>
      </c>
      <c r="G10" s="26">
        <f>IF(F10=0,"n/a",E10/F10-1)</f>
        <v/>
      </c>
      <c r="H10" s="27" t="inlineStr">
        <is>
          <t>⚠ 1–3月為0、4月才提,時點/補提疑慮→需查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2026-06-22T07:19:26Z</dcterms:created>
  <dcterms:modified xmlns:dcterms="http://purl.org/dc/terms/" xmlns:xsi="http://www.w3.org/2001/XMLSchema-instance" xsi:type="dcterms:W3CDTF">2026-06-22T07:19:26Z</dcterms:modified>
</cp:coreProperties>
</file>