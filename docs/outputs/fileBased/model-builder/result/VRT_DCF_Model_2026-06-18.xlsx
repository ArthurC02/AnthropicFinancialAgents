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  <sheet xmlns:r="http://schemas.openxmlformats.org/officeDocument/2006/relationships" name="WAC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0.000"/>
    <numFmt numFmtId="166" formatCode="$#,##0.00"/>
    <numFmt numFmtId="167" formatCode="$#,##0.00;($#,##0.00);&quot;-&quot;"/>
    <numFmt numFmtId="168" formatCode="0.0"/>
    <numFmt numFmtId="169" formatCode="0.0%;(0.0%)"/>
    <numFmt numFmtId="170" formatCode="0.0&quot;x&quot;"/>
  </numFmts>
  <fonts count="16">
    <font>
      <name val="Calibri"/>
      <family val="2"/>
      <color theme="1"/>
      <sz val="11"/>
      <scheme val="minor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color rgb="00000000"/>
      <sz val="10"/>
    </font>
    <font>
      <name val="Microsoft JhengHei"/>
      <color rgb="000000FF"/>
      <sz val="10"/>
    </font>
    <font>
      <name val="Microsoft JhengHei"/>
      <b val="1"/>
      <color rgb="00000000"/>
      <sz val="10"/>
    </font>
    <font>
      <name val="Microsoft JhengHei"/>
      <color rgb="00008000"/>
      <sz val="10"/>
    </font>
    <font>
      <name val="Microsoft JhengHei"/>
      <b val="1"/>
      <color rgb="00FFFFFF"/>
      <sz val="10"/>
    </font>
    <font>
      <name val="Microsoft JhengHei"/>
      <b val="1"/>
      <color rgb="00000000"/>
      <sz val="11"/>
    </font>
    <font>
      <name val="Microsoft JhengHei"/>
      <b val="1"/>
      <color rgb="00FFFFFF"/>
      <sz val="14"/>
    </font>
    <font>
      <name val="Microsoft JhengHei"/>
      <color rgb="00000000"/>
      <sz val="9"/>
    </font>
    <font>
      <name val="Microsoft JhengHei"/>
      <b val="1"/>
      <color rgb="000000FF"/>
      <sz val="10"/>
    </font>
    <font>
      <name val="Microsoft JhengHei"/>
      <b val="1"/>
      <color rgb="00000000"/>
      <sz val="9"/>
    </font>
    <font>
      <name val="Microsoft JhengHei"/>
      <b val="1"/>
      <color rgb="00008000"/>
      <sz val="10"/>
    </font>
    <font>
      <name val="Microsoft JhengHei"/>
      <b val="1"/>
      <color rgb="000000FF"/>
      <sz val="9"/>
    </font>
    <font>
      <name val="Microsoft JhengHei"/>
      <color rgb="00000000"/>
      <sz val="8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>
        <color rgb="009BAFC4"/>
      </left>
      <right style="thin">
        <color rgb="009BAFC4"/>
      </right>
      <top style="thin">
        <color rgb="009BAFC4"/>
      </top>
      <bottom style="thin">
        <color rgb="009BAFC4"/>
      </bottom>
    </border>
    <border>
      <left/>
      <right/>
      <top style="thin">
        <color rgb="009BAFC4"/>
      </top>
      <bottom/>
      <diagonal/>
    </border>
    <border>
      <left/>
      <right style="thin">
        <color rgb="009BAFC4"/>
      </right>
      <top style="thin">
        <color rgb="009BAFC4"/>
      </top>
      <bottom/>
      <diagonal/>
    </border>
    <border>
      <left/>
      <right/>
      <top style="thin">
        <color rgb="009BAFC4"/>
      </top>
      <bottom style="thin">
        <color rgb="009BAFC4"/>
      </bottom>
      <diagonal/>
    </border>
    <border>
      <left/>
      <right style="thin">
        <color rgb="009BAFC4"/>
      </right>
      <top style="thin">
        <color rgb="009BAFC4"/>
      </top>
      <bottom style="thin">
        <color rgb="009BAFC4"/>
      </bottom>
      <diagonal/>
    </border>
    <border>
      <left style="thin">
        <color rgb="009BAFC4"/>
      </left>
      <right/>
      <top/>
      <bottom/>
      <diagonal/>
    </border>
    <border>
      <left/>
      <right style="thin">
        <color rgb="009BAFC4"/>
      </right>
      <top/>
      <bottom/>
      <diagonal/>
    </border>
    <border>
      <left style="thin">
        <color rgb="009BAFC4"/>
      </left>
      <right/>
      <top/>
      <bottom style="thin">
        <color rgb="009BAFC4"/>
      </bottom>
      <diagonal/>
    </border>
    <border>
      <left/>
      <right/>
      <top/>
      <bottom style="thin">
        <color rgb="009BAFC4"/>
      </bottom>
      <diagonal/>
    </border>
    <border>
      <left/>
      <right style="thin">
        <color rgb="009BAFC4"/>
      </right>
      <top/>
      <bottom style="thin">
        <color rgb="009BAFC4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1" fontId="1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/>
    </xf>
    <xf numFmtId="0" fontId="0" fillId="2" borderId="1" pivotButton="0" quotePrefix="0" xfId="0"/>
    <xf numFmtId="166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167" fontId="3" fillId="0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12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4" fontId="13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7" fontId="11" fillId="3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168" fontId="4" fillId="3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 wrapText="1"/>
    </xf>
    <xf numFmtId="166" fontId="8" fillId="5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69" fontId="8" fillId="5" borderId="1" applyAlignment="1" pivotButton="0" quotePrefix="0" xfId="0">
      <alignment horizontal="right" vertical="center"/>
    </xf>
    <xf numFmtId="170" fontId="3" fillId="0" borderId="1" applyAlignment="1" pivotButton="0" quotePrefix="0" xfId="0">
      <alignment horizontal="right" vertical="center"/>
    </xf>
    <xf numFmtId="164" fontId="14" fillId="4" borderId="1" applyAlignment="1" pivotButton="0" quotePrefix="0" xfId="0">
      <alignment horizontal="center" vertical="center" wrapText="1"/>
    </xf>
    <xf numFmtId="166" fontId="3" fillId="6" borderId="1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center" vertical="center" wrapText="1"/>
    </xf>
    <xf numFmtId="166" fontId="5" fillId="5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3" fillId="3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DCF skill</author>
  </authors>
  <commentList>
    <comment ref="C4" authorId="0" shapeId="0">
      <text>
        <t>1=Bear, 2=Base, 3=Bull; 改此格切換情境</t>
      </text>
    </comment>
    <comment ref="C8" authorId="0" shapeId="0">
      <text>
        <t>Source: market data 2026-06, ~$320 (≈$122bn mcap / 0.382bn sh)</t>
      </text>
    </comment>
    <comment ref="C9" authorId="0" shapeId="0">
      <text>
        <t>Source: VRT 10-K/Q FY25, diluted shares ~382m</t>
      </text>
    </comment>
    <comment ref="D16" authorId="0" shapeId="0">
      <text>
        <t>Bear: 雲端資本支出消化、競爭加劇情境</t>
      </text>
    </comment>
    <comment ref="D20" authorId="0" shapeId="0">
      <text>
        <t>Base: FY26 +27% 對齊管理層指引中點 (~$13.75bn)，後續遞減</t>
      </text>
    </comment>
    <comment ref="D21" authorId="0" shapeId="0">
      <text>
        <t>Base: EBIT 由 ~19% 擴張至 ~22.5% (營運槓桿+液冷組合)</t>
      </text>
    </comment>
    <comment ref="D24" authorId="0" shapeId="0">
      <text>
        <t>Bull: 液冷滲透加速、份額擴張</t>
      </text>
    </comment>
    <comment ref="C31" authorId="0" shapeId="0">
      <text>
        <t>Source: US statutory + state, ~21%</t>
      </text>
    </comment>
    <comment ref="C33" authorId="0" shapeId="0">
      <text>
        <t>Source: VRT historical D&amp;A ~2.6% of revenue</t>
      </text>
    </comment>
    <comment ref="C34" authorId="0" shapeId="0">
      <text>
        <t>Source: VRT historical capex ~2.3% of revenue (asset-light)</t>
      </text>
    </comment>
    <comment ref="C35" authorId="0" shapeId="0">
      <text>
        <t>Source: working-capital build ~8% of incremental revenue</t>
      </text>
    </comment>
    <comment ref="C36" authorId="0" shapeId="0">
      <text>
        <t>Source: ~long-run GDP; constraint g&lt;WACC</t>
      </text>
    </comment>
    <comment ref="C41" authorId="0" shapeId="0">
      <text>
        <t>Source: VRT FY25 revenue ~$10.84bn (TTM)</t>
      </text>
    </comment>
    <comment ref="C43" authorId="0" shapeId="0">
      <text>
        <t>Source: VRT FY25 adj. operating margin ~18.8%</t>
      </text>
    </comment>
    <comment ref="D53" authorId="0" shapeId="0">
      <text>
        <t>Mid-year convention</t>
      </text>
    </comment>
    <comment ref="C70" authorId="0" shapeId="0">
      <text>
        <t>健康區間 50–70%；偏高代表高度仰賴終值</t>
      </text>
    </comment>
  </commentList>
</comments>
</file>

<file path=xl/comments/comment2.xml><?xml version="1.0" encoding="utf-8"?>
<comments xmlns="http://schemas.openxmlformats.org/spreadsheetml/2006/main">
  <authors>
    <author>DCF skill</author>
  </authors>
  <commentList>
    <comment ref="C4" authorId="0" shapeId="0">
      <text>
        <t>Source: US 10Y Treasury, 2026-06, ~4.3%</t>
      </text>
    </comment>
    <comment ref="C5" authorId="0" shapeId="0">
      <text>
        <t>Source: 5-yr monthly beta vs S&amp;P500, ~1.4-1.5 (high-beta AI infra name)</t>
      </text>
    </comment>
    <comment ref="C6" authorId="0" shapeId="0">
      <text>
        <t>Source: market standard 5.0%</t>
      </text>
    </comment>
    <comment ref="C10" authorId="0" shapeId="0">
      <text>
        <t>Source: implied from interest exp/debt &amp; BB+/BBB- credit, ~5.5%</t>
      </text>
    </comment>
    <comment ref="C18" authorId="0" shapeId="0">
      <text>
        <t>Source: VRT balance sheet FY25, total debt ~$2.9bn</t>
      </text>
    </comment>
    <comment ref="C19" authorId="0" shapeId="0">
      <text>
        <t>Source: VRT balance sheet FY25, cash ~$1.0bn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8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</cols>
  <sheetData>
    <row r="1" ht="26" customHeight="1">
      <c r="B1" s="1" t="inlineStr">
        <is>
          <t>Vertiv Holdings (VRT) — DCF 估值模型</t>
        </is>
      </c>
    </row>
    <row r="2">
      <c r="B2" s="2" t="inlineStr">
        <is>
          <t>Ticker: VRT | 日期: 2026-06-18 | 會計年底: 12月 | 單位: US$ bn（每股除外）| 期中折現慣例</t>
        </is>
      </c>
    </row>
    <row r="4">
      <c r="B4" s="3" t="inlineStr">
        <is>
          <t>情境選擇 (1熊 2基 3牛)</t>
        </is>
      </c>
      <c r="C4" s="4" t="n">
        <v>2</v>
      </c>
    </row>
    <row r="5">
      <c r="B5" s="5" t="inlineStr">
        <is>
          <t>目前情境</t>
        </is>
      </c>
      <c r="C5" s="6">
        <f>IF($C$4=1,"熊 Bear",IF($C$4=2,"基 Base","牛 Bull"))</f>
        <v/>
      </c>
    </row>
    <row r="7">
      <c r="B7" s="7" t="inlineStr">
        <is>
          <t>市場資料 MARKET DATA（與情境無關）</t>
        </is>
      </c>
      <c r="C7" s="8" t="n"/>
      <c r="D7" s="8" t="n"/>
      <c r="E7" s="8" t="n"/>
      <c r="F7" s="8" t="n"/>
      <c r="G7" s="8" t="n"/>
      <c r="H7" s="8" t="n"/>
    </row>
    <row r="8">
      <c r="B8" s="5" t="inlineStr">
        <is>
          <t>現價 Stock Price ($)</t>
        </is>
      </c>
      <c r="C8" s="9" t="n">
        <v>320</v>
      </c>
    </row>
    <row r="9">
      <c r="B9" s="5" t="inlineStr">
        <is>
          <t>稀釋股數 Diluted Shares (bn)</t>
        </is>
      </c>
      <c r="C9" s="10" t="n">
        <v>0.382</v>
      </c>
    </row>
    <row r="10">
      <c r="B10" s="5" t="inlineStr">
        <is>
          <t>市值 Market Cap</t>
        </is>
      </c>
      <c r="C10" s="11">
        <f>C8*C9</f>
        <v/>
      </c>
    </row>
    <row r="11">
      <c r="B11" s="5" t="inlineStr">
        <is>
          <t>淨負債 Net Debt (連結 WACC)</t>
        </is>
      </c>
      <c r="C11" s="12">
        <f>WACC!$C$20</f>
        <v/>
      </c>
    </row>
    <row r="13">
      <c r="B13" s="7" t="inlineStr">
        <is>
          <t>情境假設 SCENARIO ASSUMPTIONS（營收成長 / EBIT 利潤率）</t>
        </is>
      </c>
      <c r="C13" s="8" t="n"/>
      <c r="D13" s="8" t="n"/>
      <c r="E13" s="8" t="n"/>
      <c r="F13" s="8" t="n"/>
      <c r="G13" s="8" t="n"/>
      <c r="H13" s="8" t="n"/>
    </row>
    <row r="14">
      <c r="B14" s="3" t="inlineStr">
        <is>
          <t>熊 BEAR CASE</t>
        </is>
      </c>
      <c r="C14" s="13" t="n"/>
      <c r="D14" s="13" t="n"/>
      <c r="E14" s="13" t="n"/>
      <c r="F14" s="13" t="n"/>
      <c r="G14" s="13" t="n"/>
      <c r="H14" s="14" t="n"/>
    </row>
    <row r="15">
      <c r="B15" s="15" t="inlineStr">
        <is>
          <t>假設項目</t>
        </is>
      </c>
      <c r="D15" s="16" t="inlineStr">
        <is>
          <t>FY26E</t>
        </is>
      </c>
      <c r="E15" s="16" t="inlineStr">
        <is>
          <t>FY27E</t>
        </is>
      </c>
      <c r="F15" s="16" t="inlineStr">
        <is>
          <t>FY28E</t>
        </is>
      </c>
      <c r="G15" s="16" t="inlineStr">
        <is>
          <t>FY29E</t>
        </is>
      </c>
      <c r="H15" s="16" t="inlineStr">
        <is>
          <t>FY30E</t>
        </is>
      </c>
    </row>
    <row r="16">
      <c r="B16" s="5" t="inlineStr">
        <is>
          <t xml:space="preserve">  營收成長 %</t>
        </is>
      </c>
      <c r="D16" s="17" t="n">
        <v>0.22</v>
      </c>
      <c r="E16" s="17" t="n">
        <v>0.14</v>
      </c>
      <c r="F16" s="17" t="n">
        <v>0.09</v>
      </c>
      <c r="G16" s="17" t="n">
        <v>0.06</v>
      </c>
      <c r="H16" s="17" t="n">
        <v>0.04</v>
      </c>
    </row>
    <row r="17">
      <c r="B17" s="5" t="inlineStr">
        <is>
          <t xml:space="preserve">  EBIT 利潤率 %</t>
        </is>
      </c>
      <c r="D17" s="17" t="n">
        <v>0.185</v>
      </c>
      <c r="E17" s="17" t="n">
        <v>0.19</v>
      </c>
      <c r="F17" s="17" t="n">
        <v>0.195</v>
      </c>
      <c r="G17" s="17" t="n">
        <v>0.2</v>
      </c>
      <c r="H17" s="17" t="n">
        <v>0.2</v>
      </c>
    </row>
    <row r="18">
      <c r="B18" s="3" t="inlineStr">
        <is>
          <t>基 BASE CASE</t>
        </is>
      </c>
      <c r="C18" s="13" t="n"/>
      <c r="D18" s="13" t="n"/>
      <c r="E18" s="13" t="n"/>
      <c r="F18" s="13" t="n"/>
      <c r="G18" s="13" t="n"/>
      <c r="H18" s="14" t="n"/>
    </row>
    <row r="19">
      <c r="B19" s="15" t="inlineStr">
        <is>
          <t>假設項目</t>
        </is>
      </c>
      <c r="D19" s="16" t="inlineStr">
        <is>
          <t>FY26E</t>
        </is>
      </c>
      <c r="E19" s="16" t="inlineStr">
        <is>
          <t>FY27E</t>
        </is>
      </c>
      <c r="F19" s="16" t="inlineStr">
        <is>
          <t>FY28E</t>
        </is>
      </c>
      <c r="G19" s="16" t="inlineStr">
        <is>
          <t>FY29E</t>
        </is>
      </c>
      <c r="H19" s="16" t="inlineStr">
        <is>
          <t>FY30E</t>
        </is>
      </c>
    </row>
    <row r="20">
      <c r="B20" s="5" t="inlineStr">
        <is>
          <t xml:space="preserve">  營收成長 %</t>
        </is>
      </c>
      <c r="D20" s="17" t="n">
        <v>0.27</v>
      </c>
      <c r="E20" s="17" t="n">
        <v>0.2</v>
      </c>
      <c r="F20" s="17" t="n">
        <v>0.15</v>
      </c>
      <c r="G20" s="17" t="n">
        <v>0.11</v>
      </c>
      <c r="H20" s="17" t="n">
        <v>0.08</v>
      </c>
    </row>
    <row r="21">
      <c r="B21" s="5" t="inlineStr">
        <is>
          <t xml:space="preserve">  EBIT 利潤率 %</t>
        </is>
      </c>
      <c r="D21" s="17" t="n">
        <v>0.195</v>
      </c>
      <c r="E21" s="17" t="n">
        <v>0.205</v>
      </c>
      <c r="F21" s="17" t="n">
        <v>0.215</v>
      </c>
      <c r="G21" s="17" t="n">
        <v>0.22</v>
      </c>
      <c r="H21" s="17" t="n">
        <v>0.225</v>
      </c>
    </row>
    <row r="22">
      <c r="B22" s="3" t="inlineStr">
        <is>
          <t>牛 BULL CASE</t>
        </is>
      </c>
      <c r="C22" s="13" t="n"/>
      <c r="D22" s="13" t="n"/>
      <c r="E22" s="13" t="n"/>
      <c r="F22" s="13" t="n"/>
      <c r="G22" s="13" t="n"/>
      <c r="H22" s="14" t="n"/>
    </row>
    <row r="23">
      <c r="B23" s="15" t="inlineStr">
        <is>
          <t>假設項目</t>
        </is>
      </c>
      <c r="D23" s="16" t="inlineStr">
        <is>
          <t>FY26E</t>
        </is>
      </c>
      <c r="E23" s="16" t="inlineStr">
        <is>
          <t>FY27E</t>
        </is>
      </c>
      <c r="F23" s="16" t="inlineStr">
        <is>
          <t>FY28E</t>
        </is>
      </c>
      <c r="G23" s="16" t="inlineStr">
        <is>
          <t>FY29E</t>
        </is>
      </c>
      <c r="H23" s="16" t="inlineStr">
        <is>
          <t>FY30E</t>
        </is>
      </c>
    </row>
    <row r="24">
      <c r="B24" s="5" t="inlineStr">
        <is>
          <t xml:space="preserve">  營收成長 %</t>
        </is>
      </c>
      <c r="D24" s="17" t="n">
        <v>0.32</v>
      </c>
      <c r="E24" s="17" t="n">
        <v>0.26</v>
      </c>
      <c r="F24" s="17" t="n">
        <v>0.2</v>
      </c>
      <c r="G24" s="17" t="n">
        <v>0.15</v>
      </c>
      <c r="H24" s="17" t="n">
        <v>0.11</v>
      </c>
    </row>
    <row r="25">
      <c r="B25" s="5" t="inlineStr">
        <is>
          <t xml:space="preserve">  EBIT 利潤率 %</t>
        </is>
      </c>
      <c r="D25" s="17" t="n">
        <v>0.2</v>
      </c>
      <c r="E25" s="17" t="n">
        <v>0.215</v>
      </c>
      <c r="F25" s="17" t="n">
        <v>0.23</v>
      </c>
      <c r="G25" s="17" t="n">
        <v>0.24</v>
      </c>
      <c r="H25" s="17" t="n">
        <v>0.245</v>
      </c>
    </row>
    <row r="26">
      <c r="B26" s="18" t="inlineStr">
        <is>
          <t>選定情境 SELECTED（=CHOOSE 由選擇器）</t>
        </is>
      </c>
      <c r="C26" s="13" t="n"/>
      <c r="D26" s="13" t="n"/>
      <c r="E26" s="13" t="n"/>
      <c r="F26" s="13" t="n"/>
      <c r="G26" s="13" t="n"/>
      <c r="H26" s="14" t="n"/>
    </row>
    <row r="27">
      <c r="B27" s="19" t="inlineStr">
        <is>
          <t xml:space="preserve">  選定營收成長 %</t>
        </is>
      </c>
      <c r="D27" s="20">
        <f>CHOOSE($C$4,D16,D20,D24)</f>
        <v/>
      </c>
      <c r="E27" s="20">
        <f>CHOOSE($C$4,E16,E20,E24)</f>
        <v/>
      </c>
      <c r="F27" s="20">
        <f>CHOOSE($C$4,F16,F20,F24)</f>
        <v/>
      </c>
      <c r="G27" s="20">
        <f>CHOOSE($C$4,G16,G20,G24)</f>
        <v/>
      </c>
      <c r="H27" s="20">
        <f>CHOOSE($C$4,H16,H20,H24)</f>
        <v/>
      </c>
    </row>
    <row r="28">
      <c r="B28" s="19" t="inlineStr">
        <is>
          <t xml:space="preserve">  選定 EBIT 利潤率 %</t>
        </is>
      </c>
      <c r="D28" s="20">
        <f>CHOOSE($C$4,D17,D21,D25)</f>
        <v/>
      </c>
      <c r="E28" s="20">
        <f>CHOOSE($C$4,E17,E21,E25)</f>
        <v/>
      </c>
      <c r="F28" s="20">
        <f>CHOOSE($C$4,F17,F21,F25)</f>
        <v/>
      </c>
      <c r="G28" s="20">
        <f>CHOOSE($C$4,G17,G21,G25)</f>
        <v/>
      </c>
      <c r="H28" s="20">
        <f>CHOOSE($C$4,H17,H21,H25)</f>
        <v/>
      </c>
    </row>
    <row r="30">
      <c r="B30" s="7" t="inlineStr">
        <is>
          <t>全域假設 GLOBAL ASSUMPTIONS（與情境無關）</t>
        </is>
      </c>
      <c r="C30" s="8" t="n"/>
      <c r="D30" s="8" t="n"/>
      <c r="E30" s="8" t="n"/>
      <c r="F30" s="8" t="n"/>
      <c r="G30" s="8" t="n"/>
      <c r="H30" s="8" t="n"/>
    </row>
    <row r="31">
      <c r="B31" s="5" t="inlineStr">
        <is>
          <t>稅率 Tax Rate</t>
        </is>
      </c>
      <c r="C31" s="17" t="n">
        <v>0.21</v>
      </c>
    </row>
    <row r="32">
      <c r="B32" s="5" t="inlineStr">
        <is>
          <t>稅率 (供 WACC 連結)</t>
        </is>
      </c>
      <c r="C32" s="21">
        <f>C31</f>
        <v/>
      </c>
    </row>
    <row r="33">
      <c r="B33" s="5" t="inlineStr">
        <is>
          <t>D&amp;A % 營收</t>
        </is>
      </c>
      <c r="C33" s="17" t="n">
        <v>0.026</v>
      </c>
    </row>
    <row r="34">
      <c r="B34" s="5" t="inlineStr">
        <is>
          <t>Capex % 營收</t>
        </is>
      </c>
      <c r="C34" s="17" t="n">
        <v>0.023</v>
      </c>
    </row>
    <row r="35">
      <c r="B35" s="5" t="inlineStr">
        <is>
          <t>ΔNWC % 增額營收</t>
        </is>
      </c>
      <c r="C35" s="17" t="n">
        <v>0.08</v>
      </c>
    </row>
    <row r="36">
      <c r="B36" s="5" t="inlineStr">
        <is>
          <t>終值成長 g</t>
        </is>
      </c>
      <c r="C36" s="17" t="n">
        <v>0.03</v>
      </c>
    </row>
    <row r="37">
      <c r="B37" s="3" t="inlineStr">
        <is>
          <t>WACC (連結 WACC 分頁)</t>
        </is>
      </c>
      <c r="C37" s="22">
        <f>WACC!$C$27</f>
        <v/>
      </c>
    </row>
    <row r="39">
      <c r="B39" s="7" t="inlineStr">
        <is>
          <t>財務預測 PROJECTIONS (US$ bn)</t>
        </is>
      </c>
      <c r="C39" s="8" t="n"/>
      <c r="D39" s="8" t="n"/>
      <c r="E39" s="8" t="n"/>
      <c r="F39" s="8" t="n"/>
      <c r="G39" s="8" t="n"/>
      <c r="H39" s="8" t="n"/>
    </row>
    <row r="40">
      <c r="B40" s="15" t="inlineStr">
        <is>
          <t>項目 \ 年度</t>
        </is>
      </c>
      <c r="C40" s="16" t="inlineStr">
        <is>
          <t>FY25A</t>
        </is>
      </c>
      <c r="D40" s="16" t="inlineStr">
        <is>
          <t>FY26E</t>
        </is>
      </c>
      <c r="E40" s="16" t="inlineStr">
        <is>
          <t>FY27E</t>
        </is>
      </c>
      <c r="F40" s="16" t="inlineStr">
        <is>
          <t>FY28E</t>
        </is>
      </c>
      <c r="G40" s="16" t="inlineStr">
        <is>
          <t>FY29E</t>
        </is>
      </c>
      <c r="H40" s="16" t="inlineStr">
        <is>
          <t>FY30E</t>
        </is>
      </c>
    </row>
    <row r="41">
      <c r="B41" s="23" t="inlineStr">
        <is>
          <t>營收 Revenue</t>
        </is>
      </c>
      <c r="C41" s="24" t="n">
        <v>10.84</v>
      </c>
      <c r="D41" s="25">
        <f>C41*(1+D27)</f>
        <v/>
      </c>
      <c r="E41" s="25">
        <f>D41*(1+E27)</f>
        <v/>
      </c>
      <c r="F41" s="25">
        <f>E41*(1+F27)</f>
        <v/>
      </c>
      <c r="G41" s="25">
        <f>F41*(1+G27)</f>
        <v/>
      </c>
      <c r="H41" s="25">
        <f>G41*(1+H27)</f>
        <v/>
      </c>
    </row>
    <row r="42">
      <c r="B42" s="5" t="inlineStr">
        <is>
          <t xml:space="preserve">  營收成長 %</t>
        </is>
      </c>
      <c r="D42" s="21">
        <f>D41/C41-1</f>
        <v/>
      </c>
      <c r="E42" s="21">
        <f>E41/D41-1</f>
        <v/>
      </c>
      <c r="F42" s="21">
        <f>F41/E41-1</f>
        <v/>
      </c>
      <c r="G42" s="21">
        <f>G41/F41-1</f>
        <v/>
      </c>
      <c r="H42" s="21">
        <f>H41/G41-1</f>
        <v/>
      </c>
    </row>
    <row r="43">
      <c r="B43" s="5" t="inlineStr">
        <is>
          <t xml:space="preserve">  EBIT 利潤率 %</t>
        </is>
      </c>
      <c r="C43" s="17" t="n">
        <v>0.188</v>
      </c>
      <c r="D43" s="21">
        <f>D28</f>
        <v/>
      </c>
      <c r="E43" s="21">
        <f>E28</f>
        <v/>
      </c>
      <c r="F43" s="21">
        <f>F28</f>
        <v/>
      </c>
      <c r="G43" s="21">
        <f>G28</f>
        <v/>
      </c>
      <c r="H43" s="21">
        <f>H28</f>
        <v/>
      </c>
    </row>
    <row r="44">
      <c r="B44" s="23" t="inlineStr">
        <is>
          <t>EBIT</t>
        </is>
      </c>
      <c r="C44" s="25">
        <f>C41*C43</f>
        <v/>
      </c>
      <c r="D44" s="25">
        <f>D41*D43</f>
        <v/>
      </c>
      <c r="E44" s="25">
        <f>E41*E43</f>
        <v/>
      </c>
      <c r="F44" s="25">
        <f>F41*F43</f>
        <v/>
      </c>
      <c r="G44" s="25">
        <f>G41*G43</f>
        <v/>
      </c>
      <c r="H44" s="25">
        <f>H41*H43</f>
        <v/>
      </c>
    </row>
    <row r="45">
      <c r="B45" s="5" t="inlineStr">
        <is>
          <t xml:space="preserve">  減：稅 Taxes</t>
        </is>
      </c>
      <c r="C45" s="11">
        <f>C44*$C$31</f>
        <v/>
      </c>
      <c r="D45" s="11">
        <f>D44*$C$31</f>
        <v/>
      </c>
      <c r="E45" s="11">
        <f>E44*$C$31</f>
        <v/>
      </c>
      <c r="F45" s="11">
        <f>F44*$C$31</f>
        <v/>
      </c>
      <c r="G45" s="11">
        <f>G44*$C$31</f>
        <v/>
      </c>
      <c r="H45" s="11">
        <f>H44*$C$31</f>
        <v/>
      </c>
    </row>
    <row r="46">
      <c r="B46" s="23" t="inlineStr">
        <is>
          <t>NOPAT</t>
        </is>
      </c>
      <c r="C46" s="25">
        <f>C44-C45</f>
        <v/>
      </c>
      <c r="D46" s="25">
        <f>D44-D45</f>
        <v/>
      </c>
      <c r="E46" s="25">
        <f>E44-E45</f>
        <v/>
      </c>
      <c r="F46" s="25">
        <f>F44-F45</f>
        <v/>
      </c>
      <c r="G46" s="25">
        <f>G44-G45</f>
        <v/>
      </c>
      <c r="H46" s="25">
        <f>H44-H45</f>
        <v/>
      </c>
    </row>
    <row r="47">
      <c r="B47" s="5" t="inlineStr">
        <is>
          <t xml:space="preserve">  加：D&amp;A</t>
        </is>
      </c>
      <c r="C47" s="11">
        <f>C41*$C$33</f>
        <v/>
      </c>
      <c r="D47" s="11">
        <f>D41*$C$33</f>
        <v/>
      </c>
      <c r="E47" s="11">
        <f>E41*$C$33</f>
        <v/>
      </c>
      <c r="F47" s="11">
        <f>F41*$C$33</f>
        <v/>
      </c>
      <c r="G47" s="11">
        <f>G41*$C$33</f>
        <v/>
      </c>
      <c r="H47" s="11">
        <f>H41*$C$33</f>
        <v/>
      </c>
    </row>
    <row r="48">
      <c r="B48" s="5" t="inlineStr">
        <is>
          <t xml:space="preserve">  減：Capex</t>
        </is>
      </c>
      <c r="C48" s="11">
        <f>C41*$C$34</f>
        <v/>
      </c>
      <c r="D48" s="11">
        <f>D41*$C$34</f>
        <v/>
      </c>
      <c r="E48" s="11">
        <f>E41*$C$34</f>
        <v/>
      </c>
      <c r="F48" s="11">
        <f>F41*$C$34</f>
        <v/>
      </c>
      <c r="G48" s="11">
        <f>G41*$C$34</f>
        <v/>
      </c>
      <c r="H48" s="11">
        <f>H41*$C$34</f>
        <v/>
      </c>
    </row>
    <row r="49">
      <c r="B49" s="5" t="inlineStr">
        <is>
          <t xml:space="preserve">  減：ΔNWC</t>
        </is>
      </c>
      <c r="C49" s="11" t="n">
        <v>0</v>
      </c>
      <c r="D49" s="11">
        <f>(D41-C41)*$C$35</f>
        <v/>
      </c>
      <c r="E49" s="11">
        <f>(E41-D41)*$C$35</f>
        <v/>
      </c>
      <c r="F49" s="11">
        <f>(F41-E41)*$C$35</f>
        <v/>
      </c>
      <c r="G49" s="11">
        <f>(G41-F41)*$C$35</f>
        <v/>
      </c>
      <c r="H49" s="11">
        <f>(H41-G41)*$C$35</f>
        <v/>
      </c>
    </row>
    <row r="50">
      <c r="B50" s="3" t="inlineStr">
        <is>
          <t>無槓桿自由現金流 FCFF</t>
        </is>
      </c>
      <c r="C50" s="26">
        <f>C46+C47-C48-C49</f>
        <v/>
      </c>
      <c r="D50" s="26">
        <f>D46+D47-D48-D49</f>
        <v/>
      </c>
      <c r="E50" s="26">
        <f>E46+E47-E48-E49</f>
        <v/>
      </c>
      <c r="F50" s="26">
        <f>F46+F47-F48-F49</f>
        <v/>
      </c>
      <c r="G50" s="26">
        <f>G46+G47-G48-G49</f>
        <v/>
      </c>
      <c r="H50" s="26">
        <f>H46+H47-H48-H49</f>
        <v/>
      </c>
    </row>
    <row r="52">
      <c r="B52" s="7" t="inlineStr">
        <is>
          <t>折現與終值 DISCOUNTING &amp; TERMINAL VALUE</t>
        </is>
      </c>
      <c r="C52" s="8" t="n"/>
      <c r="D52" s="8" t="n"/>
      <c r="E52" s="8" t="n"/>
      <c r="F52" s="8" t="n"/>
      <c r="G52" s="8" t="n"/>
      <c r="H52" s="8" t="n"/>
    </row>
    <row r="53">
      <c r="B53" s="5" t="inlineStr">
        <is>
          <t>期數 (期中) Period</t>
        </is>
      </c>
      <c r="D53" s="27" t="n">
        <v>0.5</v>
      </c>
      <c r="E53" s="27" t="n">
        <v>1.5</v>
      </c>
      <c r="F53" s="27" t="n">
        <v>2.5</v>
      </c>
      <c r="G53" s="27" t="n">
        <v>3.5</v>
      </c>
      <c r="H53" s="27" t="n">
        <v>4.5</v>
      </c>
    </row>
    <row r="54">
      <c r="B54" s="5" t="inlineStr">
        <is>
          <t>折現因子 Discount Factor</t>
        </is>
      </c>
      <c r="D54" s="28">
        <f>1/(1+$C$37)^D53</f>
        <v/>
      </c>
      <c r="E54" s="28">
        <f>1/(1+$C$37)^E53</f>
        <v/>
      </c>
      <c r="F54" s="28">
        <f>1/(1+$C$37)^F53</f>
        <v/>
      </c>
      <c r="G54" s="28">
        <f>1/(1+$C$37)^G53</f>
        <v/>
      </c>
      <c r="H54" s="28">
        <f>1/(1+$C$37)^H53</f>
        <v/>
      </c>
    </row>
    <row r="55">
      <c r="B55" s="23" t="inlineStr">
        <is>
          <t>FCFF 現值 PV</t>
        </is>
      </c>
      <c r="D55" s="25">
        <f>D50*D54</f>
        <v/>
      </c>
      <c r="E55" s="25">
        <f>E50*E54</f>
        <v/>
      </c>
      <c r="F55" s="25">
        <f>F50*F54</f>
        <v/>
      </c>
      <c r="G55" s="25">
        <f>G50*G54</f>
        <v/>
      </c>
      <c r="H55" s="25">
        <f>H50*H54</f>
        <v/>
      </c>
    </row>
    <row r="57">
      <c r="B57" s="7" t="inlineStr">
        <is>
          <t>估值總結 VALUATION SUMMARY (US$ bn)</t>
        </is>
      </c>
      <c r="C57" s="8" t="n"/>
      <c r="D57" s="8" t="n"/>
      <c r="E57" s="8" t="n"/>
      <c r="F57" s="8" t="n"/>
      <c r="G57" s="8" t="n"/>
      <c r="H57" s="8" t="n"/>
    </row>
    <row r="58">
      <c r="B58" s="5" t="inlineStr">
        <is>
          <t>終年 FCFF × (1+g) = 終值 FCFF</t>
        </is>
      </c>
      <c r="C58" s="11">
        <f>H50*(1+$C$36)</f>
        <v/>
      </c>
    </row>
    <row r="59">
      <c r="B59" s="5" t="inlineStr">
        <is>
          <t>終值 TV (永續成長法)</t>
        </is>
      </c>
      <c r="C59" s="11">
        <f>C58/($C$37-$C$36)</f>
        <v/>
      </c>
    </row>
    <row r="60">
      <c r="B60" s="5" t="inlineStr">
        <is>
          <t>終值現值 PV of TV</t>
        </is>
      </c>
      <c r="C60" s="11">
        <f>C59/(1+$C$37)^H53</f>
        <v/>
      </c>
    </row>
    <row r="61">
      <c r="B61" s="5" t="inlineStr">
        <is>
          <t>顯性期 PV 合計 ΣPV FCFF</t>
        </is>
      </c>
      <c r="C61" s="11">
        <f>SUM(D55:H55)</f>
        <v/>
      </c>
    </row>
    <row r="62">
      <c r="B62" s="3" t="inlineStr">
        <is>
          <t>企業價值 Enterprise Value</t>
        </is>
      </c>
      <c r="C62" s="26">
        <f>C61+C60</f>
        <v/>
      </c>
    </row>
    <row r="63">
      <c r="B63" s="5" t="inlineStr">
        <is>
          <t xml:space="preserve">  減：淨負債 Net Debt</t>
        </is>
      </c>
      <c r="C63" s="11">
        <f>C11</f>
        <v/>
      </c>
    </row>
    <row r="64">
      <c r="B64" s="3" t="inlineStr">
        <is>
          <t>股權價值 Equity Value</t>
        </is>
      </c>
      <c r="C64" s="26">
        <f>C62-C63</f>
        <v/>
      </c>
    </row>
    <row r="65">
      <c r="B65" s="5" t="inlineStr">
        <is>
          <t xml:space="preserve">  稀釋股數 (bn)</t>
        </is>
      </c>
      <c r="C65" s="28">
        <f>C9</f>
        <v/>
      </c>
    </row>
    <row r="66">
      <c r="B66" s="29" t="inlineStr">
        <is>
          <t>隱含每股價值 Implied Price</t>
        </is>
      </c>
      <c r="C66" s="30">
        <f>C64/C65</f>
        <v/>
      </c>
    </row>
    <row r="67">
      <c r="B67" s="5" t="inlineStr">
        <is>
          <t>現價 Current Price</t>
        </is>
      </c>
      <c r="C67" s="31">
        <f>C8</f>
        <v/>
      </c>
    </row>
    <row r="68">
      <c r="B68" s="29" t="inlineStr">
        <is>
          <t>隱含上漲/(下跌)</t>
        </is>
      </c>
      <c r="C68" s="32">
        <f>C66/C67-1</f>
        <v/>
      </c>
    </row>
    <row r="70">
      <c r="B70" s="5" t="inlineStr">
        <is>
          <t>檢查：終值占 EV %</t>
        </is>
      </c>
      <c r="C70" s="21">
        <f>C60/C62</f>
        <v/>
      </c>
    </row>
    <row r="71">
      <c r="B71" s="5" t="inlineStr">
        <is>
          <t>檢查：隱含 EV/EBITDA (FY26E)</t>
        </is>
      </c>
      <c r="C71" s="33">
        <f>C62/(D44+D47)</f>
        <v/>
      </c>
    </row>
    <row r="74">
      <c r="B74" s="7" t="inlineStr">
        <is>
          <t>敏感度分析 SENSITIVITY：隱含每股價值 — WACC × 終值成長 g</t>
        </is>
      </c>
      <c r="C74" s="8" t="n"/>
      <c r="D74" s="8" t="n"/>
      <c r="E74" s="8" t="n"/>
      <c r="F74" s="8" t="n"/>
      <c r="G74" s="8" t="n"/>
      <c r="H74" s="8" t="n"/>
    </row>
    <row r="75">
      <c r="B75" s="16" t="inlineStr">
        <is>
          <t>WACC↓ / g→</t>
        </is>
      </c>
      <c r="D75" s="34">
        <f>$C$36+(-0.01)</f>
        <v/>
      </c>
      <c r="E75" s="34">
        <f>$C$36+(-0.005)</f>
        <v/>
      </c>
      <c r="F75" s="34">
        <f>$C$36+(0)</f>
        <v/>
      </c>
      <c r="G75" s="34">
        <f>$C$36+(0.005)</f>
        <v/>
      </c>
      <c r="H75" s="34">
        <f>$C$36+(0.01)</f>
        <v/>
      </c>
    </row>
    <row r="76">
      <c r="C76" s="34">
        <f>$C$37+(-0.01)</f>
        <v/>
      </c>
      <c r="D76" s="35">
        <f>(SUMPRODUCT($D$50:$H$50,1/(1+$C76)^$D$53:$H$53)+($H$50*(1+D$75)/($C76-D$75))/(1+$C76)^$H$53-$C$11)/$C$9</f>
        <v/>
      </c>
      <c r="E76" s="36">
        <f>(SUMPRODUCT($D$50:$H$50,1/(1+$C76)^$D$53:$H$53)+($H$50*(1+E$75)/($C76-E$75))/(1+$C76)^$H$53-$C$11)/$C$9</f>
        <v/>
      </c>
      <c r="F76" s="35">
        <f>(SUMPRODUCT($D$50:$H$50,1/(1+$C76)^$D$53:$H$53)+($H$50*(1+F$75)/($C76-F$75))/(1+$C76)^$H$53-$C$11)/$C$9</f>
        <v/>
      </c>
      <c r="G76" s="36">
        <f>(SUMPRODUCT($D$50:$H$50,1/(1+$C76)^$D$53:$H$53)+($H$50*(1+G$75)/($C76-G$75))/(1+$C76)^$H$53-$C$11)/$C$9</f>
        <v/>
      </c>
      <c r="H76" s="35">
        <f>(SUMPRODUCT($D$50:$H$50,1/(1+$C76)^$D$53:$H$53)+($H$50*(1+H$75)/($C76-H$75))/(1+$C76)^$H$53-$C$11)/$C$9</f>
        <v/>
      </c>
    </row>
    <row r="77">
      <c r="C77" s="34">
        <f>$C$37+(-0.005)</f>
        <v/>
      </c>
      <c r="D77" s="36">
        <f>(SUMPRODUCT($D$50:$H$50,1/(1+$C77)^$D$53:$H$53)+($H$50*(1+D$75)/($C77-D$75))/(1+$C77)^$H$53-$C$11)/$C$9</f>
        <v/>
      </c>
      <c r="E77" s="35">
        <f>(SUMPRODUCT($D$50:$H$50,1/(1+$C77)^$D$53:$H$53)+($H$50*(1+E$75)/($C77-E$75))/(1+$C77)^$H$53-$C$11)/$C$9</f>
        <v/>
      </c>
      <c r="F77" s="36">
        <f>(SUMPRODUCT($D$50:$H$50,1/(1+$C77)^$D$53:$H$53)+($H$50*(1+F$75)/($C77-F$75))/(1+$C77)^$H$53-$C$11)/$C$9</f>
        <v/>
      </c>
      <c r="G77" s="35">
        <f>(SUMPRODUCT($D$50:$H$50,1/(1+$C77)^$D$53:$H$53)+($H$50*(1+G$75)/($C77-G$75))/(1+$C77)^$H$53-$C$11)/$C$9</f>
        <v/>
      </c>
      <c r="H77" s="36">
        <f>(SUMPRODUCT($D$50:$H$50,1/(1+$C77)^$D$53:$H$53)+($H$50*(1+H$75)/($C77-H$75))/(1+$C77)^$H$53-$C$11)/$C$9</f>
        <v/>
      </c>
    </row>
    <row r="78">
      <c r="C78" s="34">
        <f>$C$37+(0)</f>
        <v/>
      </c>
      <c r="D78" s="35">
        <f>(SUMPRODUCT($D$50:$H$50,1/(1+$C78)^$D$53:$H$53)+($H$50*(1+D$75)/($C78-D$75))/(1+$C78)^$H$53-$C$11)/$C$9</f>
        <v/>
      </c>
      <c r="E78" s="36">
        <f>(SUMPRODUCT($D$50:$H$50,1/(1+$C78)^$D$53:$H$53)+($H$50*(1+E$75)/($C78-E$75))/(1+$C78)^$H$53-$C$11)/$C$9</f>
        <v/>
      </c>
      <c r="F78" s="37">
        <f>(SUMPRODUCT($D$50:$H$50,1/(1+$C78)^$D$53:$H$53)+($H$50*(1+F$75)/($C78-F$75))/(1+$C78)^$H$53-$C$11)/$C$9</f>
        <v/>
      </c>
      <c r="G78" s="36">
        <f>(SUMPRODUCT($D$50:$H$50,1/(1+$C78)^$D$53:$H$53)+($H$50*(1+G$75)/($C78-G$75))/(1+$C78)^$H$53-$C$11)/$C$9</f>
        <v/>
      </c>
      <c r="H78" s="35">
        <f>(SUMPRODUCT($D$50:$H$50,1/(1+$C78)^$D$53:$H$53)+($H$50*(1+H$75)/($C78-H$75))/(1+$C78)^$H$53-$C$11)/$C$9</f>
        <v/>
      </c>
    </row>
    <row r="79">
      <c r="C79" s="34">
        <f>$C$37+(0.005)</f>
        <v/>
      </c>
      <c r="D79" s="36">
        <f>(SUMPRODUCT($D$50:$H$50,1/(1+$C79)^$D$53:$H$53)+($H$50*(1+D$75)/($C79-D$75))/(1+$C79)^$H$53-$C$11)/$C$9</f>
        <v/>
      </c>
      <c r="E79" s="35">
        <f>(SUMPRODUCT($D$50:$H$50,1/(1+$C79)^$D$53:$H$53)+($H$50*(1+E$75)/($C79-E$75))/(1+$C79)^$H$53-$C$11)/$C$9</f>
        <v/>
      </c>
      <c r="F79" s="36">
        <f>(SUMPRODUCT($D$50:$H$50,1/(1+$C79)^$D$53:$H$53)+($H$50*(1+F$75)/($C79-F$75))/(1+$C79)^$H$53-$C$11)/$C$9</f>
        <v/>
      </c>
      <c r="G79" s="35">
        <f>(SUMPRODUCT($D$50:$H$50,1/(1+$C79)^$D$53:$H$53)+($H$50*(1+G$75)/($C79-G$75))/(1+$C79)^$H$53-$C$11)/$C$9</f>
        <v/>
      </c>
      <c r="H79" s="36">
        <f>(SUMPRODUCT($D$50:$H$50,1/(1+$C79)^$D$53:$H$53)+($H$50*(1+H$75)/($C79-H$75))/(1+$C79)^$H$53-$C$11)/$C$9</f>
        <v/>
      </c>
    </row>
    <row r="80">
      <c r="C80" s="34">
        <f>$C$37+(0.01)</f>
        <v/>
      </c>
      <c r="D80" s="35">
        <f>(SUMPRODUCT($D$50:$H$50,1/(1+$C80)^$D$53:$H$53)+($H$50*(1+D$75)/($C80-D$75))/(1+$C80)^$H$53-$C$11)/$C$9</f>
        <v/>
      </c>
      <c r="E80" s="36">
        <f>(SUMPRODUCT($D$50:$H$50,1/(1+$C80)^$D$53:$H$53)+($H$50*(1+E$75)/($C80-E$75))/(1+$C80)^$H$53-$C$11)/$C$9</f>
        <v/>
      </c>
      <c r="F80" s="35">
        <f>(SUMPRODUCT($D$50:$H$50,1/(1+$C80)^$D$53:$H$53)+($H$50*(1+F$75)/($C80-F$75))/(1+$C80)^$H$53-$C$11)/$C$9</f>
        <v/>
      </c>
      <c r="G80" s="36">
        <f>(SUMPRODUCT($D$50:$H$50,1/(1+$C80)^$D$53:$H$53)+($H$50*(1+G$75)/($C80-G$75))/(1+$C80)^$H$53-$C$11)/$C$9</f>
        <v/>
      </c>
      <c r="H80" s="35">
        <f>(SUMPRODUCT($D$50:$H$50,1/(1+$C80)^$D$53:$H$53)+($H$50*(1+H$75)/($C80-H$75))/(1+$C80)^$H$53-$C$11)/$C$9</f>
        <v/>
      </c>
    </row>
    <row r="82">
      <c r="B82" s="38" t="inlineStr">
        <is>
          <t>註：① 中心格(粗體高亮)=基準情境，應等於上方隱含每股價值 C66。② 表格採目前情境(C4)之 FCFF 流；切換情境後同步更新。③ g&lt;WACC 為必要條件。</t>
        </is>
      </c>
      <c r="C82" s="39" t="n"/>
      <c r="D82" s="39" t="n"/>
      <c r="E82" s="39" t="n"/>
      <c r="F82" s="39" t="n"/>
      <c r="G82" s="39" t="n"/>
      <c r="H82" s="40" t="n"/>
    </row>
    <row r="83">
      <c r="B83" s="41" t="n"/>
      <c r="C83" s="42" t="n"/>
      <c r="D83" s="42" t="n"/>
      <c r="E83" s="42" t="n"/>
      <c r="F83" s="42" t="n"/>
      <c r="G83" s="42" t="n"/>
      <c r="H83" s="43" t="n"/>
    </row>
  </sheetData>
  <mergeCells count="14">
    <mergeCell ref="B22:H22"/>
    <mergeCell ref="B14:H14"/>
    <mergeCell ref="B26:H26"/>
    <mergeCell ref="B18:H18"/>
    <mergeCell ref="B1:H1"/>
    <mergeCell ref="B13:H13"/>
    <mergeCell ref="B52:H52"/>
    <mergeCell ref="B57:H57"/>
    <mergeCell ref="B74:H74"/>
    <mergeCell ref="B39:H39"/>
    <mergeCell ref="B30:H30"/>
    <mergeCell ref="B2:H2"/>
    <mergeCell ref="B7:H7"/>
    <mergeCell ref="B82:H83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2" customWidth="1" min="3" max="3"/>
    <col width="12" customWidth="1" min="4" max="4"/>
    <col width="12" customWidth="1" min="5" max="5"/>
  </cols>
  <sheetData>
    <row r="1" ht="24" customHeight="1">
      <c r="B1" s="44" t="inlineStr">
        <is>
          <t>Vertiv (VRT) — WACC（資金成本，CAPM）</t>
        </is>
      </c>
    </row>
    <row r="3">
      <c r="B3" s="45" t="inlineStr">
        <is>
          <t>權益成本 COST OF EQUITY</t>
        </is>
      </c>
      <c r="C3" s="8" t="n"/>
      <c r="D3" s="8" t="n"/>
    </row>
    <row r="4">
      <c r="B4" s="46" t="inlineStr">
        <is>
          <t>無風險利率 (10Y UST)</t>
        </is>
      </c>
      <c r="C4" s="17" t="n">
        <v>0.043</v>
      </c>
    </row>
    <row r="5">
      <c r="B5" s="46" t="inlineStr">
        <is>
          <t>Beta (5年月beta)</t>
        </is>
      </c>
      <c r="C5" s="10" t="n">
        <v>1.45</v>
      </c>
    </row>
    <row r="6">
      <c r="B6" s="46" t="inlineStr">
        <is>
          <t>股權風險溢酬 ERP</t>
        </is>
      </c>
      <c r="C6" s="17" t="n">
        <v>0.05</v>
      </c>
    </row>
    <row r="7">
      <c r="B7" s="3" t="inlineStr">
        <is>
          <t>權益成本 Cost of Equity</t>
        </is>
      </c>
      <c r="C7" s="47">
        <f>C4+C5*C6</f>
        <v/>
      </c>
    </row>
    <row r="9">
      <c r="B9" s="45" t="inlineStr">
        <is>
          <t>負債成本 COST OF DEBT</t>
        </is>
      </c>
      <c r="C9" s="8" t="n"/>
      <c r="D9" s="8" t="n"/>
    </row>
    <row r="10">
      <c r="B10" s="46" t="inlineStr">
        <is>
          <t>稅前負債成本</t>
        </is>
      </c>
      <c r="C10" s="17" t="n">
        <v>0.055</v>
      </c>
    </row>
    <row r="11">
      <c r="B11" s="5" t="inlineStr">
        <is>
          <t>稅率 (連結 DCF)</t>
        </is>
      </c>
      <c r="C11" s="48">
        <f>DCF!$C$32</f>
        <v/>
      </c>
    </row>
    <row r="12">
      <c r="B12" s="3" t="inlineStr">
        <is>
          <t>稅後負債成本</t>
        </is>
      </c>
      <c r="C12" s="47">
        <f>C10*(1-C11)</f>
        <v/>
      </c>
    </row>
    <row r="14">
      <c r="B14" s="45" t="inlineStr">
        <is>
          <t>資本結構 CAPITAL STRUCTURE ($bn)</t>
        </is>
      </c>
      <c r="C14" s="8" t="n"/>
      <c r="D14" s="8" t="n"/>
    </row>
    <row r="15">
      <c r="B15" s="5" t="inlineStr">
        <is>
          <t>股價 (連結 DCF)</t>
        </is>
      </c>
      <c r="C15" s="49">
        <f>DCF!$C$8</f>
        <v/>
      </c>
    </row>
    <row r="16">
      <c r="B16" s="5" t="inlineStr">
        <is>
          <t>股數 bn (連結 DCF)</t>
        </is>
      </c>
      <c r="C16" s="50">
        <f>DCF!$C$9</f>
        <v/>
      </c>
    </row>
    <row r="17">
      <c r="B17" s="5" t="inlineStr">
        <is>
          <t>市值 Market Cap</t>
        </is>
      </c>
      <c r="C17" s="11">
        <f>C15*C16</f>
        <v/>
      </c>
    </row>
    <row r="18">
      <c r="B18" s="46" t="inlineStr">
        <is>
          <t>總負債 Total Debt</t>
        </is>
      </c>
      <c r="C18" s="51" t="n">
        <v>2.9</v>
      </c>
    </row>
    <row r="19">
      <c r="B19" s="46" t="inlineStr">
        <is>
          <t>現金 Cash &amp; Equiv</t>
        </is>
      </c>
      <c r="C19" s="51" t="n">
        <v>1</v>
      </c>
    </row>
    <row r="20">
      <c r="B20" s="3" t="inlineStr">
        <is>
          <t>淨負債 Net Debt</t>
        </is>
      </c>
      <c r="C20" s="26">
        <f>C18-C19</f>
        <v/>
      </c>
    </row>
    <row r="21">
      <c r="B21" s="5" t="inlineStr">
        <is>
          <t>企業價值 EV</t>
        </is>
      </c>
      <c r="C21" s="11">
        <f>C17+C20</f>
        <v/>
      </c>
    </row>
    <row r="23">
      <c r="B23" s="52" t="inlineStr">
        <is>
          <t>WACC 計算</t>
        </is>
      </c>
      <c r="C23" s="53" t="inlineStr">
        <is>
          <t>權重</t>
        </is>
      </c>
      <c r="D23" s="53" t="inlineStr">
        <is>
          <t>成本</t>
        </is>
      </c>
      <c r="E23" s="53" t="inlineStr">
        <is>
          <t>貢獻</t>
        </is>
      </c>
    </row>
    <row r="24">
      <c r="B24" s="5" t="inlineStr">
        <is>
          <t>權益 Equity</t>
        </is>
      </c>
      <c r="C24" s="21">
        <f>C17/C21</f>
        <v/>
      </c>
      <c r="D24" s="21">
        <f>C7</f>
        <v/>
      </c>
      <c r="E24" s="21">
        <f>C24*D24</f>
        <v/>
      </c>
    </row>
    <row r="25">
      <c r="B25" s="5" t="inlineStr">
        <is>
          <t>負債 Debt</t>
        </is>
      </c>
      <c r="C25" s="21">
        <f>C20/C21</f>
        <v/>
      </c>
      <c r="D25" s="21">
        <f>C12</f>
        <v/>
      </c>
      <c r="E25" s="21">
        <f>C25*D25</f>
        <v/>
      </c>
    </row>
    <row r="27">
      <c r="B27" s="29" t="inlineStr">
        <is>
          <t>WACC</t>
        </is>
      </c>
      <c r="C27" s="54">
        <f>E24+E25</f>
        <v/>
      </c>
    </row>
  </sheetData>
  <mergeCells count="5">
    <mergeCell ref="B3:D3"/>
    <mergeCell ref="B14:D14"/>
    <mergeCell ref="B1:D1"/>
    <mergeCell ref="C27:D27"/>
    <mergeCell ref="B9:D9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2026-06-22T07:19:25Z</dcterms:created>
  <dcterms:modified xmlns:dcterms="http://purl.org/dc/terms/" xmlns:xsi="http://www.w3.org/2001/XMLSchema-instance" xsi:type="dcterms:W3CDTF">2026-06-22T07:19:25Z</dcterms:modified>
</cp:coreProperties>
</file>